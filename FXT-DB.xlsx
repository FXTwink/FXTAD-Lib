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00-文件柜\010-项目仓库\FXTAD-Lib\"/>
    </mc:Choice>
  </mc:AlternateContent>
  <xr:revisionPtr revIDLastSave="0" documentId="13_ncr:1_{85163FB4-AF34-4B43-BB5D-27910A1B076A}" xr6:coauthVersionLast="47" xr6:coauthVersionMax="47" xr10:uidLastSave="{00000000-0000-0000-0000-000000000000}"/>
  <bookViews>
    <workbookView xWindow="-21600" yWindow="0" windowWidth="21600" windowHeight="18825" firstSheet="11" activeTab="18" xr2:uid="{00000000-000D-0000-FFFF-FFFF00000000}"/>
  </bookViews>
  <sheets>
    <sheet name="RES" sheetId="1" r:id="rId1"/>
    <sheet name="CAP" sheetId="2" r:id="rId2"/>
    <sheet name="Fuse" sheetId="20" r:id="rId3"/>
    <sheet name="Diodes" sheetId="14" r:id="rId4"/>
    <sheet name="Inductor" sheetId="15" r:id="rId5"/>
    <sheet name="Transistors" sheetId="17" r:id="rId6"/>
    <sheet name="Crystals" sheetId="18" r:id="rId7"/>
    <sheet name="Connector" sheetId="19" r:id="rId8"/>
    <sheet name="LED" sheetId="16" r:id="rId9"/>
    <sheet name="MEM" sheetId="4" r:id="rId10"/>
    <sheet name="MCU" sheetId="6" r:id="rId11"/>
    <sheet name="MCU-ST" sheetId="11" r:id="rId12"/>
    <sheet name="MCU-WCH" sheetId="13" r:id="rId13"/>
    <sheet name="MCU-NORDIC" sheetId="12" r:id="rId14"/>
    <sheet name="SW" sheetId="7" r:id="rId15"/>
    <sheet name="PWR-BMIC" sheetId="8" r:id="rId16"/>
    <sheet name="PWR-DCDC" sheetId="9" r:id="rId17"/>
    <sheet name="PWR-LDO" sheetId="10" r:id="rId18"/>
    <sheet name="KBD" sheetId="22" r:id="rId19"/>
    <sheet name="Other" sheetId="23" r:id="rId20"/>
    <sheet name="模板" sheetId="3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4" l="1"/>
  <c r="S4" i="14"/>
  <c r="S5" i="14"/>
  <c r="S6" i="14"/>
  <c r="S7" i="14"/>
  <c r="S8" i="14"/>
  <c r="S9" i="14"/>
  <c r="S3" i="22"/>
  <c r="S4" i="22"/>
  <c r="S5" i="22"/>
  <c r="S6" i="22"/>
  <c r="S7" i="22"/>
  <c r="S8" i="22"/>
  <c r="S9" i="22"/>
  <c r="S10" i="22"/>
  <c r="S2" i="18"/>
  <c r="S2" i="23"/>
  <c r="S4" i="7"/>
  <c r="S5" i="7"/>
  <c r="S3" i="7"/>
  <c r="S2" i="22"/>
  <c r="S6" i="2"/>
  <c r="S5" i="2"/>
  <c r="S6" i="18"/>
  <c r="S5" i="18"/>
  <c r="S4" i="18"/>
  <c r="S84" i="1"/>
  <c r="S81" i="1"/>
  <c r="S82" i="1"/>
  <c r="S83" i="1"/>
  <c r="S80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2" i="10"/>
  <c r="S11" i="10"/>
  <c r="S4" i="10"/>
  <c r="S5" i="10"/>
  <c r="S6" i="10"/>
  <c r="S7" i="10"/>
  <c r="S8" i="10"/>
  <c r="S9" i="10"/>
  <c r="S10" i="10"/>
  <c r="S5" i="20"/>
  <c r="S4" i="20"/>
  <c r="S2" i="20"/>
  <c r="S3" i="20"/>
  <c r="S5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3" i="19"/>
  <c r="S54" i="1"/>
  <c r="S55" i="1"/>
  <c r="S2" i="19"/>
  <c r="S3" i="18"/>
  <c r="S2" i="17"/>
  <c r="S2" i="16"/>
  <c r="S2" i="15"/>
  <c r="S2" i="14"/>
  <c r="S2" i="13"/>
  <c r="S2" i="12"/>
  <c r="S2" i="11"/>
  <c r="S3" i="10"/>
  <c r="S2" i="9"/>
  <c r="S2" i="8"/>
  <c r="S2" i="7"/>
  <c r="S3" i="2"/>
  <c r="S4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" i="2"/>
  <c r="S3" i="6"/>
  <c r="S4" i="6"/>
  <c r="S5" i="6"/>
  <c r="S3" i="4"/>
  <c r="S4" i="4"/>
  <c r="S5" i="4"/>
  <c r="S6" i="4"/>
  <c r="S7" i="4"/>
  <c r="S8" i="4"/>
  <c r="S9" i="4"/>
  <c r="S2" i="6"/>
  <c r="S2" i="4"/>
  <c r="S2" i="3"/>
  <c r="S35" i="1"/>
  <c r="S36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10" i="1"/>
  <c r="S3" i="1"/>
  <c r="S4" i="1"/>
  <c r="S5" i="1"/>
  <c r="S6" i="1"/>
  <c r="S7" i="1"/>
  <c r="S8" i="1"/>
  <c r="S9" i="1"/>
  <c r="S2" i="1"/>
</calcChain>
</file>

<file path=xl/sharedStrings.xml><?xml version="1.0" encoding="utf-8"?>
<sst xmlns="http://schemas.openxmlformats.org/spreadsheetml/2006/main" count="2247" uniqueCount="682">
  <si>
    <t>Library Ref</t>
  </si>
  <si>
    <t>Footprint Ref</t>
  </si>
  <si>
    <t>Part Type</t>
    <phoneticPr fontId="2" type="noConversion"/>
  </si>
  <si>
    <t>ComponentLink1Description</t>
  </si>
  <si>
    <t>ComponentLink1URL</t>
  </si>
  <si>
    <t>制造商</t>
  </si>
  <si>
    <t>制造商料号</t>
  </si>
  <si>
    <r>
      <t>立创</t>
    </r>
    <r>
      <rPr>
        <sz val="11"/>
        <color theme="1"/>
        <rFont val="Arial"/>
        <family val="2"/>
      </rPr>
      <t>C</t>
    </r>
    <r>
      <rPr>
        <sz val="11"/>
        <color theme="1"/>
        <rFont val="宋体"/>
        <family val="3"/>
        <charset val="134"/>
      </rPr>
      <t>编码</t>
    </r>
  </si>
  <si>
    <t>精度</t>
  </si>
  <si>
    <t>耐压</t>
  </si>
  <si>
    <t>材质</t>
  </si>
  <si>
    <t>价格</t>
  </si>
  <si>
    <t>更新时间</t>
  </si>
  <si>
    <t>Value</t>
    <phoneticPr fontId="2" type="noConversion"/>
  </si>
  <si>
    <t>Library Path</t>
  </si>
  <si>
    <t>Footprint Path</t>
  </si>
  <si>
    <t>Comment</t>
    <phoneticPr fontId="2" type="noConversion"/>
  </si>
  <si>
    <t>Description</t>
    <phoneticPr fontId="2" type="noConversion"/>
  </si>
  <si>
    <t>RES</t>
  </si>
  <si>
    <t>R01005</t>
    <phoneticPr fontId="2" type="noConversion"/>
  </si>
  <si>
    <t>R0201</t>
    <phoneticPr fontId="2" type="noConversion"/>
  </si>
  <si>
    <t>R0402</t>
    <phoneticPr fontId="2" type="noConversion"/>
  </si>
  <si>
    <t>R0603</t>
    <phoneticPr fontId="2" type="noConversion"/>
  </si>
  <si>
    <t>R0805</t>
    <phoneticPr fontId="2" type="noConversion"/>
  </si>
  <si>
    <t>R1206</t>
    <phoneticPr fontId="2" type="noConversion"/>
  </si>
  <si>
    <t>R1210</t>
    <phoneticPr fontId="2" type="noConversion"/>
  </si>
  <si>
    <t>R2512</t>
    <phoneticPr fontId="2" type="noConversion"/>
  </si>
  <si>
    <t>RC</t>
    <phoneticPr fontId="2" type="noConversion"/>
  </si>
  <si>
    <t>RC</t>
  </si>
  <si>
    <t>2512_6432 RES</t>
    <phoneticPr fontId="2" type="noConversion"/>
  </si>
  <si>
    <t>NO</t>
  </si>
  <si>
    <t>Part Numb</t>
    <phoneticPr fontId="2" type="noConversion"/>
  </si>
  <si>
    <t>1K</t>
    <phoneticPr fontId="2" type="noConversion"/>
  </si>
  <si>
    <t>01005 RES</t>
    <phoneticPr fontId="2" type="noConversion"/>
  </si>
  <si>
    <t>0R</t>
    <phoneticPr fontId="2" type="noConversion"/>
  </si>
  <si>
    <t>10R</t>
  </si>
  <si>
    <t>10R</t>
    <phoneticPr fontId="2" type="noConversion"/>
  </si>
  <si>
    <t>15R</t>
    <phoneticPr fontId="2" type="noConversion"/>
  </si>
  <si>
    <t>22R</t>
    <phoneticPr fontId="2" type="noConversion"/>
  </si>
  <si>
    <t>100R</t>
    <phoneticPr fontId="2" type="noConversion"/>
  </si>
  <si>
    <t>1.5K</t>
    <phoneticPr fontId="2" type="noConversion"/>
  </si>
  <si>
    <t>4.7K</t>
    <phoneticPr fontId="2" type="noConversion"/>
  </si>
  <si>
    <t>YAGEO(国巨)</t>
  </si>
  <si>
    <t>C2936587</t>
  </si>
  <si>
    <t>RC0100FR-070RL</t>
  </si>
  <si>
    <t>±1%</t>
  </si>
  <si>
    <t>15V</t>
  </si>
  <si>
    <t>厚膜电阻</t>
  </si>
  <si>
    <t>10R ±5% 31.25mW</t>
    <phoneticPr fontId="2" type="noConversion"/>
  </si>
  <si>
    <t>RC0100JR-0710RL</t>
  </si>
  <si>
    <t>C850543</t>
  </si>
  <si>
    <t>±5%</t>
  </si>
  <si>
    <t>RC0100FR-0715RL</t>
  </si>
  <si>
    <t>C849859</t>
  </si>
  <si>
    <t>0105WHF220JTDE</t>
  </si>
  <si>
    <t>C560344</t>
  </si>
  <si>
    <t>15R ±1% 31.25mW</t>
    <phoneticPr fontId="2" type="noConversion"/>
  </si>
  <si>
    <t>ComponentLink1URL</t>
    <phoneticPr fontId="2" type="noConversion"/>
  </si>
  <si>
    <t>ComponentLink1Description</t>
    <phoneticPr fontId="2" type="noConversion"/>
  </si>
  <si>
    <r>
      <t>22</t>
    </r>
    <r>
      <rPr>
        <sz val="11"/>
        <color rgb="FF000000"/>
        <rFont val="宋体"/>
        <family val="3"/>
      </rPr>
      <t>R</t>
    </r>
    <r>
      <rPr>
        <sz val="11"/>
        <color indexed="8"/>
        <rFont val="宋体"/>
        <family val="3"/>
        <charset val="134"/>
      </rPr>
      <t xml:space="preserve"> ±1% 31.25mW</t>
    </r>
    <phoneticPr fontId="2" type="noConversion"/>
  </si>
  <si>
    <t>100R ±5% 31.25mW</t>
    <phoneticPr fontId="2" type="noConversion"/>
  </si>
  <si>
    <t>0105WHJ0101TDE</t>
  </si>
  <si>
    <t>C270299</t>
  </si>
  <si>
    <t>RC0100FR-071KL</t>
  </si>
  <si>
    <t>C606165</t>
  </si>
  <si>
    <t>1k ±1% 31.25mW</t>
    <phoneticPr fontId="2" type="noConversion"/>
  </si>
  <si>
    <t>2R</t>
    <phoneticPr fontId="2" type="noConversion"/>
  </si>
  <si>
    <t>0105WHF200KTDE</t>
  </si>
  <si>
    <t>0R ±1% 31.25mW</t>
    <phoneticPr fontId="2" type="noConversion"/>
  </si>
  <si>
    <t xml:space="preserve"> 2R ±1% 31.25mW </t>
    <phoneticPr fontId="2" type="noConversion"/>
  </si>
  <si>
    <t>4.7k ±5% 31.25mW</t>
    <phoneticPr fontId="2" type="noConversion"/>
  </si>
  <si>
    <t>1.6K</t>
    <phoneticPr fontId="2" type="noConversion"/>
  </si>
  <si>
    <t>2K</t>
    <phoneticPr fontId="2" type="noConversion"/>
  </si>
  <si>
    <t>2.7K</t>
    <phoneticPr fontId="2" type="noConversion"/>
  </si>
  <si>
    <t>2.4K</t>
    <phoneticPr fontId="2" type="noConversion"/>
  </si>
  <si>
    <t>3K</t>
    <phoneticPr fontId="2" type="noConversion"/>
  </si>
  <si>
    <t>10K</t>
    <phoneticPr fontId="2" type="noConversion"/>
  </si>
  <si>
    <t>100K</t>
    <phoneticPr fontId="2" type="noConversion"/>
  </si>
  <si>
    <t>1.6k ±1% 31.25mW</t>
    <phoneticPr fontId="2" type="noConversion"/>
  </si>
  <si>
    <t>RC0100FR-071K6L</t>
  </si>
  <si>
    <t>C849926</t>
  </si>
  <si>
    <t>2k ±1% 31.25mW</t>
    <phoneticPr fontId="2" type="noConversion"/>
  </si>
  <si>
    <t>RC0100FR-072KL</t>
  </si>
  <si>
    <t>C326976</t>
  </si>
  <si>
    <t>RC0100FR-072K4L</t>
  </si>
  <si>
    <t>C850078</t>
  </si>
  <si>
    <t>2.4k ±1% 31.25mW</t>
    <phoneticPr fontId="2" type="noConversion"/>
  </si>
  <si>
    <t>RC0100FR-072K7L</t>
  </si>
  <si>
    <t>C850083</t>
  </si>
  <si>
    <t>RC0100FR-073KL</t>
  </si>
  <si>
    <t>C850202</t>
  </si>
  <si>
    <t>3k ±1% 31.25mW</t>
    <phoneticPr fontId="2" type="noConversion"/>
  </si>
  <si>
    <t>2.7k ±1% 31.25mW</t>
    <phoneticPr fontId="2" type="noConversion"/>
  </si>
  <si>
    <t>20R</t>
    <phoneticPr fontId="2" type="noConversion"/>
  </si>
  <si>
    <t>51R</t>
    <phoneticPr fontId="2" type="noConversion"/>
  </si>
  <si>
    <t>3.3K</t>
    <phoneticPr fontId="2" type="noConversion"/>
  </si>
  <si>
    <t>20K</t>
    <phoneticPr fontId="2" type="noConversion"/>
  </si>
  <si>
    <t>5.1K</t>
    <phoneticPr fontId="2" type="noConversion"/>
  </si>
  <si>
    <t>150K</t>
    <phoneticPr fontId="2" type="noConversion"/>
  </si>
  <si>
    <t>300K</t>
    <phoneticPr fontId="2" type="noConversion"/>
  </si>
  <si>
    <t>68K</t>
    <phoneticPr fontId="2" type="noConversion"/>
  </si>
  <si>
    <t>RC0100FR-073K3L</t>
  </si>
  <si>
    <t>C850192</t>
  </si>
  <si>
    <t>RC0100JR-074K7L</t>
    <phoneticPr fontId="2" type="noConversion"/>
  </si>
  <si>
    <t>C850630</t>
  </si>
  <si>
    <t>RC0100FR-071K5L</t>
    <phoneticPr fontId="2" type="noConversion"/>
  </si>
  <si>
    <t>C849922</t>
  </si>
  <si>
    <t>1.5k ±1% 31.25mW</t>
    <phoneticPr fontId="2" type="noConversion"/>
  </si>
  <si>
    <t>RC0100FR-075K1L</t>
  </si>
  <si>
    <t>C850349</t>
  </si>
  <si>
    <t>5.1k ±1% 31.25mW</t>
    <phoneticPr fontId="2" type="noConversion"/>
  </si>
  <si>
    <t>3.3k ±1% 31.25mW</t>
    <phoneticPr fontId="2" type="noConversion"/>
  </si>
  <si>
    <t>RC0100FR-0710KL</t>
  </si>
  <si>
    <t>C364373</t>
  </si>
  <si>
    <t>10k ±1% 31.25mW</t>
    <phoneticPr fontId="2" type="noConversion"/>
  </si>
  <si>
    <t>RC0100FR-0720RL</t>
    <phoneticPr fontId="2" type="noConversion"/>
  </si>
  <si>
    <t>C849998</t>
    <phoneticPr fontId="2" type="noConversion"/>
  </si>
  <si>
    <t>20R ±1% 31.25mW</t>
    <phoneticPr fontId="2" type="noConversion"/>
  </si>
  <si>
    <t>RC0100JR-0751RL</t>
  </si>
  <si>
    <t>C850636</t>
  </si>
  <si>
    <t>51R ±5% 31.25mW</t>
    <phoneticPr fontId="2" type="noConversion"/>
  </si>
  <si>
    <t>RC0100FR-0720KL</t>
  </si>
  <si>
    <t>C849996</t>
  </si>
  <si>
    <t>20k ±1% 31.25mW</t>
    <phoneticPr fontId="2" type="noConversion"/>
  </si>
  <si>
    <t>RC0100FR-0768KL</t>
  </si>
  <si>
    <t>C850403</t>
  </si>
  <si>
    <t>68k ±1% 31.25mW</t>
    <phoneticPr fontId="2" type="noConversion"/>
  </si>
  <si>
    <t>RC0100FR-07100KL</t>
  </si>
  <si>
    <t>C723496</t>
  </si>
  <si>
    <t>100k ±1% 31.25mW</t>
    <phoneticPr fontId="2" type="noConversion"/>
  </si>
  <si>
    <t>RC0100FR-07150KL</t>
  </si>
  <si>
    <t>C849848</t>
  </si>
  <si>
    <t>150k ±1% 31.25mW</t>
    <phoneticPr fontId="2" type="noConversion"/>
  </si>
  <si>
    <t>RC0100FR-07300KL</t>
  </si>
  <si>
    <t>C850124</t>
  </si>
  <si>
    <t>300k ±1% 31.25mW</t>
    <phoneticPr fontId="2" type="noConversion"/>
  </si>
  <si>
    <t>0R ±5% 31.25mW</t>
    <phoneticPr fontId="2" type="noConversion"/>
  </si>
  <si>
    <t>RC0100JR-070RL</t>
  </si>
  <si>
    <t>C364372</t>
  </si>
  <si>
    <r>
      <t>UNI-ROYAL(</t>
    </r>
    <r>
      <rPr>
        <sz val="12"/>
        <color rgb="FF444444"/>
        <rFont val="宋体"/>
        <family val="2"/>
        <charset val="134"/>
      </rPr>
      <t>厚声</t>
    </r>
    <r>
      <rPr>
        <sz val="12"/>
        <color rgb="FF444444"/>
        <rFont val="Arial"/>
        <family val="2"/>
      </rPr>
      <t>)</t>
    </r>
    <phoneticPr fontId="2" type="noConversion"/>
  </si>
  <si>
    <t>C560341</t>
    <phoneticPr fontId="2" type="noConversion"/>
  </si>
  <si>
    <t>10R ±1% 31.25mW</t>
    <phoneticPr fontId="2" type="noConversion"/>
  </si>
  <si>
    <t>0105WHF100JTDE</t>
  </si>
  <si>
    <t>C560311</t>
  </si>
  <si>
    <t>15R ±5% 31.25mW</t>
    <phoneticPr fontId="2" type="noConversion"/>
  </si>
  <si>
    <t>RC0100JR-0715RL</t>
  </si>
  <si>
    <t>C850559</t>
  </si>
  <si>
    <t>R-01005</t>
  </si>
  <si>
    <t>R-01005</t>
    <phoneticPr fontId="2" type="noConversion"/>
  </si>
  <si>
    <t>0201_0603 RES</t>
    <phoneticPr fontId="2" type="noConversion"/>
  </si>
  <si>
    <t>R-0201_0603</t>
    <phoneticPr fontId="2" type="noConversion"/>
  </si>
  <si>
    <t>0402_1005 RES</t>
    <phoneticPr fontId="2" type="noConversion"/>
  </si>
  <si>
    <t>R-0402_1005</t>
    <phoneticPr fontId="2" type="noConversion"/>
  </si>
  <si>
    <t>0603_1608 RES</t>
    <phoneticPr fontId="2" type="noConversion"/>
  </si>
  <si>
    <t>R-0603_1608</t>
    <phoneticPr fontId="2" type="noConversion"/>
  </si>
  <si>
    <t>0805_2012 RES</t>
    <phoneticPr fontId="2" type="noConversion"/>
  </si>
  <si>
    <t>R-0805_2012</t>
    <phoneticPr fontId="2" type="noConversion"/>
  </si>
  <si>
    <t>1206_3216 RES</t>
    <phoneticPr fontId="2" type="noConversion"/>
  </si>
  <si>
    <t>R-1206_3216</t>
    <phoneticPr fontId="2" type="noConversion"/>
  </si>
  <si>
    <t>1210_3225 RES</t>
    <phoneticPr fontId="2" type="noConversion"/>
  </si>
  <si>
    <t>R-1210_3225</t>
    <phoneticPr fontId="2" type="noConversion"/>
  </si>
  <si>
    <t>R-2512_6432</t>
    <phoneticPr fontId="2" type="noConversion"/>
  </si>
  <si>
    <t>W25Q16JVUXIQ</t>
    <phoneticPr fontId="2" type="noConversion"/>
  </si>
  <si>
    <t>W25Q16JVUXIQ</t>
  </si>
  <si>
    <t>W25Q64JVUXIQ</t>
    <phoneticPr fontId="2" type="noConversion"/>
  </si>
  <si>
    <t>W25Q64JVSSIQ</t>
    <phoneticPr fontId="2" type="noConversion"/>
  </si>
  <si>
    <t>W25Q64JVXGIQ</t>
    <phoneticPr fontId="2" type="noConversion"/>
  </si>
  <si>
    <t>W25Q16JVUXIQ 正常封装大小</t>
    <phoneticPr fontId="2" type="noConversion"/>
  </si>
  <si>
    <t>W25Q16JVUXIQ 极限空间封装大小</t>
  </si>
  <si>
    <t>W25Q16JVUXIQ 大空间封装大小</t>
  </si>
  <si>
    <t>W25Q16JVUXIQ 正常封装大小</t>
  </si>
  <si>
    <t>W25Q64JVSSIQ 正常封装大小</t>
    <phoneticPr fontId="2" type="noConversion"/>
  </si>
  <si>
    <t>W25Q64JVXGIQ 正常封装大小</t>
    <phoneticPr fontId="2" type="noConversion"/>
  </si>
  <si>
    <t>RP2040</t>
  </si>
  <si>
    <t>MCU</t>
  </si>
  <si>
    <t>PR2040 正常封装大小</t>
  </si>
  <si>
    <t>PR2040 极限空间封装大小</t>
  </si>
  <si>
    <t>PR2040 大空间封装大小</t>
  </si>
  <si>
    <t>RP2350A</t>
    <phoneticPr fontId="2" type="noConversion"/>
  </si>
  <si>
    <t>PR2350A 正常封装大小</t>
    <phoneticPr fontId="2" type="noConversion"/>
  </si>
  <si>
    <t>SCHlib\MEM\NORFlash-W25Q16JV.SchLib</t>
    <phoneticPr fontId="2" type="noConversion"/>
  </si>
  <si>
    <t>W25Q16JV</t>
  </si>
  <si>
    <t>W25Q64JV</t>
  </si>
  <si>
    <t>SCHlib\MEM\NORFlash-W25Q64JV.SchLib</t>
    <phoneticPr fontId="2" type="noConversion"/>
  </si>
  <si>
    <t>Winbond(华邦)</t>
    <phoneticPr fontId="2" type="noConversion"/>
  </si>
  <si>
    <t>PCBlib\Leadless\USON.PCBLIB</t>
    <phoneticPr fontId="2" type="noConversion"/>
  </si>
  <si>
    <t>PCBlib\Leadless\XSON.PCBLIB</t>
    <phoneticPr fontId="2" type="noConversion"/>
  </si>
  <si>
    <t>USON-8-EP</t>
    <phoneticPr fontId="2" type="noConversion"/>
  </si>
  <si>
    <t>USON-8-EP-L</t>
  </si>
  <si>
    <t>USON-8-EP-M</t>
  </si>
  <si>
    <t>SOIC-8</t>
    <phoneticPr fontId="2" type="noConversion"/>
  </si>
  <si>
    <t>PCBlib\Leaded\SOIC.PCBLIB</t>
    <phoneticPr fontId="2" type="noConversion"/>
  </si>
  <si>
    <t>XSON-8-EP(4x4)</t>
    <phoneticPr fontId="2" type="noConversion"/>
  </si>
  <si>
    <t>GD25Q16EEIGR</t>
  </si>
  <si>
    <t>GD25Q16EEIGR</t>
    <phoneticPr fontId="2" type="noConversion"/>
  </si>
  <si>
    <t>P25Q16SH-UXH-IR</t>
  </si>
  <si>
    <t>P25Q16SH-UXH-IR</t>
    <phoneticPr fontId="2" type="noConversion"/>
  </si>
  <si>
    <t>NORFlash</t>
    <phoneticPr fontId="2" type="noConversion"/>
  </si>
  <si>
    <t>USON正常封装</t>
    <phoneticPr fontId="2" type="noConversion"/>
  </si>
  <si>
    <t>GigaDevice(兆易创新)</t>
    <phoneticPr fontId="2" type="noConversion"/>
  </si>
  <si>
    <t>C2986331</t>
  </si>
  <si>
    <t>PUYA(普冉)</t>
  </si>
  <si>
    <t>C7466821</t>
  </si>
  <si>
    <t>SCHlib\MCU-Raspberry Pi\Raspberry Pi-RP2040.SchLib</t>
    <phoneticPr fontId="2" type="noConversion"/>
  </si>
  <si>
    <t>SCHlib\MCU-Raspberry Pi\Raspberry Pi-RP2350A.SchLib</t>
    <phoneticPr fontId="2" type="noConversion"/>
  </si>
  <si>
    <t>PCBlib\Leadless\QFN.PCBLIB</t>
    <phoneticPr fontId="2" type="noConversion"/>
  </si>
  <si>
    <t>QFN56_7x7</t>
    <phoneticPr fontId="2" type="noConversion"/>
  </si>
  <si>
    <t>QFN56_7x7_L</t>
    <phoneticPr fontId="2" type="noConversion"/>
  </si>
  <si>
    <t>QFN56_7x7_M</t>
  </si>
  <si>
    <t>QFN60-EP_7x7</t>
  </si>
  <si>
    <t>RP2040</t>
    <phoneticPr fontId="2" type="noConversion"/>
  </si>
  <si>
    <t>Raspberry Pi(树莓派)</t>
  </si>
  <si>
    <t>C2040</t>
  </si>
  <si>
    <t>RP2350A</t>
  </si>
  <si>
    <t>C42411118</t>
  </si>
  <si>
    <t>12pF ±1% 50V NP0</t>
    <phoneticPr fontId="2" type="noConversion"/>
  </si>
  <si>
    <t>MLCC</t>
  </si>
  <si>
    <t>12pF ±1% 50V NP0 0603</t>
    <phoneticPr fontId="2" type="noConversion"/>
  </si>
  <si>
    <t>12pF ±5% 50V C0G</t>
    <phoneticPr fontId="2" type="noConversion"/>
  </si>
  <si>
    <t>12pF ±5% 50V C0G 0603</t>
    <phoneticPr fontId="2" type="noConversion"/>
  </si>
  <si>
    <t>12pF ±5% 50V NP0</t>
    <phoneticPr fontId="2" type="noConversion"/>
  </si>
  <si>
    <t>12pF ±5% 50V NP0 0603</t>
    <phoneticPr fontId="2" type="noConversion"/>
  </si>
  <si>
    <t>10nF ±5% 50V C0G</t>
    <phoneticPr fontId="2" type="noConversion"/>
  </si>
  <si>
    <t>10nF ±5% 50V C0G 0603</t>
    <phoneticPr fontId="2" type="noConversion"/>
  </si>
  <si>
    <t>10nF ±10% 50V X7R</t>
    <phoneticPr fontId="2" type="noConversion"/>
  </si>
  <si>
    <t>10nF ±10% 50V X7R 0603</t>
    <phoneticPr fontId="2" type="noConversion"/>
  </si>
  <si>
    <t>100nF ±5% 50V X7R</t>
    <phoneticPr fontId="2" type="noConversion"/>
  </si>
  <si>
    <t>100nF ±5% 50V X7R 0603</t>
    <phoneticPr fontId="2" type="noConversion"/>
  </si>
  <si>
    <t>100nF ±10% 50V X7R</t>
    <phoneticPr fontId="2" type="noConversion"/>
  </si>
  <si>
    <t>100nF ±10% 50V X7R 0603</t>
    <phoneticPr fontId="2" type="noConversion"/>
  </si>
  <si>
    <t>22nF ±10% 50V X7R</t>
    <phoneticPr fontId="2" type="noConversion"/>
  </si>
  <si>
    <t>22nF ±5% 50V X7R 0603</t>
    <phoneticPr fontId="2" type="noConversion"/>
  </si>
  <si>
    <t>1uF ±10% 25V X5R</t>
    <phoneticPr fontId="2" type="noConversion"/>
  </si>
  <si>
    <t>1uF ±10% 25V X5R 0603</t>
    <phoneticPr fontId="2" type="noConversion"/>
  </si>
  <si>
    <t>1uF ±10% 25V X7R</t>
    <phoneticPr fontId="2" type="noConversion"/>
  </si>
  <si>
    <t>1uF ±10% 25V X7R 0603</t>
    <phoneticPr fontId="2" type="noConversion"/>
  </si>
  <si>
    <t>1uF ±10% 50V X7R</t>
    <phoneticPr fontId="2" type="noConversion"/>
  </si>
  <si>
    <t>1uF ±10% 50V X7R 0603</t>
    <phoneticPr fontId="2" type="noConversion"/>
  </si>
  <si>
    <t>10pF ±5% 50V C0G</t>
    <phoneticPr fontId="2" type="noConversion"/>
  </si>
  <si>
    <t>10pF ±5% 50V C0G 0805</t>
    <phoneticPr fontId="2" type="noConversion"/>
  </si>
  <si>
    <t>10pF ±5% 50V NP0</t>
    <phoneticPr fontId="2" type="noConversion"/>
  </si>
  <si>
    <t>10pF ±5% 50V NP0 0805</t>
    <phoneticPr fontId="2" type="noConversion"/>
  </si>
  <si>
    <t>10nF ±10% 50V X7R 0805</t>
    <phoneticPr fontId="2" type="noConversion"/>
  </si>
  <si>
    <t>22nF ±5% 50V C0G</t>
    <phoneticPr fontId="2" type="noConversion"/>
  </si>
  <si>
    <t>22nF ±5% 50V C0G 0805</t>
    <phoneticPr fontId="2" type="noConversion"/>
  </si>
  <si>
    <t>3.3uF ±10% 25V X7R</t>
    <phoneticPr fontId="2" type="noConversion"/>
  </si>
  <si>
    <t>3.3uF ±10% 25V X7R 0805</t>
    <phoneticPr fontId="2" type="noConversion"/>
  </si>
  <si>
    <t>1uF ±10% 50V X7R 0805</t>
    <phoneticPr fontId="2" type="noConversion"/>
  </si>
  <si>
    <t>10uF ±10% 16V X5R</t>
    <phoneticPr fontId="2" type="noConversion"/>
  </si>
  <si>
    <t>10uF ±10% 25V X5R 0805</t>
    <phoneticPr fontId="2" type="noConversion"/>
  </si>
  <si>
    <t>10uF ±10% 25V X5R</t>
    <phoneticPr fontId="2" type="noConversion"/>
  </si>
  <si>
    <t>10uF ±10% 25V X7R</t>
    <phoneticPr fontId="2" type="noConversion"/>
  </si>
  <si>
    <t>12pF</t>
    <phoneticPr fontId="2" type="noConversion"/>
  </si>
  <si>
    <t>10nF</t>
    <phoneticPr fontId="2" type="noConversion"/>
  </si>
  <si>
    <t>100nF</t>
    <phoneticPr fontId="2" type="noConversion"/>
  </si>
  <si>
    <t>22nF</t>
    <phoneticPr fontId="2" type="noConversion"/>
  </si>
  <si>
    <t>1uF</t>
    <phoneticPr fontId="2" type="noConversion"/>
  </si>
  <si>
    <t>10pF</t>
    <phoneticPr fontId="2" type="noConversion"/>
  </si>
  <si>
    <t>3.3uF</t>
    <phoneticPr fontId="2" type="noConversion"/>
  </si>
  <si>
    <t>10uF</t>
    <phoneticPr fontId="2" type="noConversion"/>
  </si>
  <si>
    <t>CC0603FRNPO9BN120</t>
  </si>
  <si>
    <t>C519482</t>
  </si>
  <si>
    <t>0.0584</t>
  </si>
  <si>
    <t>SAMSUNG(三星)</t>
  </si>
  <si>
    <t>CL10C120JB8NNNC</t>
  </si>
  <si>
    <t>C38523</t>
  </si>
  <si>
    <t>0.0286</t>
  </si>
  <si>
    <t>CC0603JRNPO9BN120</t>
  </si>
  <si>
    <t>C107034</t>
  </si>
  <si>
    <t>0.0186</t>
  </si>
  <si>
    <t>CC0603JRNPO9BN103</t>
  </si>
  <si>
    <t>C389113</t>
  </si>
  <si>
    <t>0.068</t>
  </si>
  <si>
    <t>CC0603KRX7R9BB103</t>
  </si>
  <si>
    <t>C100042</t>
  </si>
  <si>
    <t>0.0137</t>
  </si>
  <si>
    <t>CC0603JRX7R9BB104</t>
  </si>
  <si>
    <t>C91183</t>
  </si>
  <si>
    <t>0.0216</t>
  </si>
  <si>
    <t>CC0603KRX7R9BB104</t>
    <phoneticPr fontId="2" type="noConversion"/>
  </si>
  <si>
    <t>C14663</t>
  </si>
  <si>
    <t>0.0155</t>
  </si>
  <si>
    <t>CL10B223KB8NNNC</t>
    <phoneticPr fontId="2" type="noConversion"/>
  </si>
  <si>
    <t>C21122</t>
  </si>
  <si>
    <t>CL10A105KA8NNNC</t>
  </si>
  <si>
    <t>C5673</t>
  </si>
  <si>
    <t>0.0278</t>
  </si>
  <si>
    <t>CL10B105KA8NNNC</t>
  </si>
  <si>
    <t>C29936</t>
  </si>
  <si>
    <t>0.0355</t>
  </si>
  <si>
    <t>CC0603KRX7R9BB105</t>
  </si>
  <si>
    <t>C559769</t>
  </si>
  <si>
    <t>0.1457</t>
  </si>
  <si>
    <t>HRE(芯声)</t>
  </si>
  <si>
    <t>CGA0805C0G100J500HT</t>
  </si>
  <si>
    <t>C41361255</t>
  </si>
  <si>
    <t>CC0805JRNPO9BN200</t>
  </si>
  <si>
    <t>C105173</t>
  </si>
  <si>
    <t>0.0376</t>
  </si>
  <si>
    <t>CC0805KRX7R9BB103</t>
  </si>
  <si>
    <t>C83170</t>
  </si>
  <si>
    <t>0.0293</t>
  </si>
  <si>
    <t>TDK</t>
  </si>
  <si>
    <t>C2012C0G1H223JT000N</t>
  </si>
  <si>
    <t>C342593</t>
  </si>
  <si>
    <t>0.32</t>
  </si>
  <si>
    <t>CGA0805X7R335K250MT</t>
  </si>
  <si>
    <t>C46614458</t>
  </si>
  <si>
    <t>0.1534</t>
  </si>
  <si>
    <t>CL21B105KBFNNNE</t>
  </si>
  <si>
    <t>C28323</t>
  </si>
  <si>
    <t>0.0593</t>
  </si>
  <si>
    <t>CL21A106KOQNNNE</t>
  </si>
  <si>
    <t>C1713</t>
  </si>
  <si>
    <t>0.058</t>
  </si>
  <si>
    <t>CL21A106KAYNNNE</t>
  </si>
  <si>
    <t>C15850</t>
  </si>
  <si>
    <t>0.0718</t>
  </si>
  <si>
    <t>CL21B106KAYQNNE</t>
  </si>
  <si>
    <t>C3039694</t>
  </si>
  <si>
    <t>0.3279</t>
  </si>
  <si>
    <t>±10%</t>
  </si>
  <si>
    <t>50V</t>
  </si>
  <si>
    <t xml:space="preserve">25V </t>
  </si>
  <si>
    <t>NP0</t>
  </si>
  <si>
    <t>C0G</t>
  </si>
  <si>
    <t>C0G</t>
    <phoneticPr fontId="2" type="noConversion"/>
  </si>
  <si>
    <t>X7R</t>
  </si>
  <si>
    <t>X5R</t>
  </si>
  <si>
    <t xml:space="preserve"> C0G</t>
    <phoneticPr fontId="2" type="noConversion"/>
  </si>
  <si>
    <t>X5R</t>
    <phoneticPr fontId="2" type="noConversion"/>
  </si>
  <si>
    <t>PCBlib\Passives\Passives-SMD_C.PCBLIB</t>
    <phoneticPr fontId="2" type="noConversion"/>
  </si>
  <si>
    <t>C-0603_1608</t>
  </si>
  <si>
    <t>C-0805_2012</t>
  </si>
  <si>
    <t>SCHlib\Passives\PASSIVES-CAP.SCHLIB</t>
    <phoneticPr fontId="2" type="noConversion"/>
  </si>
  <si>
    <t>CAP</t>
    <phoneticPr fontId="2" type="noConversion"/>
  </si>
  <si>
    <t>SCHlib\Passives\PASSIVES-RES.SCHLIB</t>
    <phoneticPr fontId="2" type="noConversion"/>
  </si>
  <si>
    <t>PCBlib\Passives\Passives-SMD_R.PCBLIB</t>
    <phoneticPr fontId="2" type="noConversion"/>
  </si>
  <si>
    <t>0603WAJ0102T5E</t>
  </si>
  <si>
    <t>C25585</t>
  </si>
  <si>
    <t>75V</t>
  </si>
  <si>
    <t>RC0603FR-071KL</t>
  </si>
  <si>
    <t>C22548</t>
  </si>
  <si>
    <t>1k ±5% 100mW</t>
    <phoneticPr fontId="2" type="noConversion"/>
  </si>
  <si>
    <t>1k ±1% 100mW</t>
    <phoneticPr fontId="2" type="noConversion"/>
  </si>
  <si>
    <t>1k ±0.1% 100mW</t>
    <phoneticPr fontId="2" type="noConversion"/>
  </si>
  <si>
    <t>RT0603BRD071KL</t>
  </si>
  <si>
    <t>C110776</t>
  </si>
  <si>
    <t>±0.1%</t>
  </si>
  <si>
    <t>0R ±1% 100mW</t>
    <phoneticPr fontId="2" type="noConversion"/>
  </si>
  <si>
    <t>RC0603FR-070RL</t>
  </si>
  <si>
    <t>C100044</t>
  </si>
  <si>
    <t>0R ±5% 100mW</t>
    <phoneticPr fontId="2" type="noConversion"/>
  </si>
  <si>
    <t>RC0603JR-070RL</t>
  </si>
  <si>
    <t>C95177</t>
  </si>
  <si>
    <t>0603WAF220JT5E</t>
  </si>
  <si>
    <t>C23345</t>
  </si>
  <si>
    <t>22R ±1% 100mW</t>
    <phoneticPr fontId="2" type="noConversion"/>
  </si>
  <si>
    <t>22R ±5% 100mW</t>
    <phoneticPr fontId="2" type="noConversion"/>
  </si>
  <si>
    <t>±5%</t>
    <phoneticPr fontId="2" type="noConversion"/>
  </si>
  <si>
    <t>0603WAJ0220T5E</t>
  </si>
  <si>
    <t>C1203</t>
  </si>
  <si>
    <t>10R ±1% 100mW</t>
    <phoneticPr fontId="2" type="noConversion"/>
  </si>
  <si>
    <t>RC0603FR-0710RL</t>
  </si>
  <si>
    <t>C109318</t>
  </si>
  <si>
    <t>10R ±5% 100mW</t>
    <phoneticPr fontId="2" type="noConversion"/>
  </si>
  <si>
    <t>0603WAJ0100T5E</t>
  </si>
  <si>
    <t>C25202</t>
  </si>
  <si>
    <t>C109317</t>
  </si>
  <si>
    <t>RC0603JR-0710RL</t>
  </si>
  <si>
    <t>270R</t>
    <phoneticPr fontId="2" type="noConversion"/>
  </si>
  <si>
    <t>270R ±1% 100mW</t>
    <phoneticPr fontId="2" type="noConversion"/>
  </si>
  <si>
    <t>RC0603FR-07270RL</t>
  </si>
  <si>
    <t>C137754</t>
  </si>
  <si>
    <t>270R ±5% 100mW</t>
    <phoneticPr fontId="2" type="noConversion"/>
  </si>
  <si>
    <t>0603WAJ0271T5E</t>
  </si>
  <si>
    <t>C25223</t>
  </si>
  <si>
    <t>0603WAJ0510T5E</t>
  </si>
  <si>
    <t>51R ±5% 100mW</t>
    <phoneticPr fontId="2" type="noConversion"/>
  </si>
  <si>
    <t>C25246</t>
  </si>
  <si>
    <t>RC0603FR-0751RL</t>
  </si>
  <si>
    <t>C114628</t>
  </si>
  <si>
    <t>51R ±1% 100mW</t>
    <phoneticPr fontId="2" type="noConversion"/>
  </si>
  <si>
    <t>0603WAF1000T5E</t>
  </si>
  <si>
    <t>100R ±1% 100mW</t>
    <phoneticPr fontId="2" type="noConversion"/>
  </si>
  <si>
    <t>C22775</t>
  </si>
  <si>
    <t>RC0603FR-07100RL</t>
  </si>
  <si>
    <t>C105588</t>
  </si>
  <si>
    <t>100R ±0.1% 100mW</t>
    <phoneticPr fontId="2" type="noConversion"/>
  </si>
  <si>
    <t>RT0603BRD07100RL</t>
  </si>
  <si>
    <t>C122970</t>
  </si>
  <si>
    <t>100R ±5% 100mW</t>
    <phoneticPr fontId="2" type="noConversion"/>
  </si>
  <si>
    <t>0603WAJ0101T5E</t>
  </si>
  <si>
    <t>C25201</t>
  </si>
  <si>
    <t>RC0603JR-07100RL</t>
  </si>
  <si>
    <t>C110091</t>
  </si>
  <si>
    <t>PCBlib\Connectors-1.25mm\A1254WR-S.PCBLIB</t>
    <phoneticPr fontId="2" type="noConversion"/>
  </si>
  <si>
    <t>A1254WR-S-2P</t>
  </si>
  <si>
    <t>A1254WR-S-2P</t>
    <phoneticPr fontId="2" type="noConversion"/>
  </si>
  <si>
    <t>A1254WR-S</t>
    <phoneticPr fontId="2" type="noConversion"/>
  </si>
  <si>
    <t>兼容 Molex 51146</t>
    <phoneticPr fontId="2" type="noConversion"/>
  </si>
  <si>
    <t>A1254WR-S-4P</t>
  </si>
  <si>
    <t>A1254WR-S-4P</t>
    <phoneticPr fontId="2" type="noConversion"/>
  </si>
  <si>
    <t>CJT(长江连接器)</t>
  </si>
  <si>
    <t>C272975</t>
  </si>
  <si>
    <t>C272976</t>
  </si>
  <si>
    <t>SCHlib\Connectors\Connectors-A1254WR.SchLib</t>
    <phoneticPr fontId="2" type="noConversion"/>
  </si>
  <si>
    <t>A1254_2P</t>
    <phoneticPr fontId="2" type="noConversion"/>
  </si>
  <si>
    <t>A1254_4P</t>
    <phoneticPr fontId="2" type="noConversion"/>
  </si>
  <si>
    <t>6V 500mA</t>
    <phoneticPr fontId="2" type="noConversion"/>
  </si>
  <si>
    <t>PPTC</t>
    <phoneticPr fontId="2" type="noConversion"/>
  </si>
  <si>
    <t>6V 500mA 0805</t>
    <phoneticPr fontId="2" type="noConversion"/>
  </si>
  <si>
    <t>Fuse</t>
  </si>
  <si>
    <t>SCHlib\Fuse\FUSE-FUSE.SchLib</t>
    <phoneticPr fontId="2" type="noConversion"/>
  </si>
  <si>
    <t>FU-0805_2012</t>
    <phoneticPr fontId="2" type="noConversion"/>
  </si>
  <si>
    <t>PCBlib\Passives\Passives-SMD_FUSE.PCBLIB</t>
    <phoneticPr fontId="2" type="noConversion"/>
  </si>
  <si>
    <t>SMD0805-050-6</t>
  </si>
  <si>
    <t>C46640983</t>
  </si>
  <si>
    <t>R+O(宏嘉诚)</t>
  </si>
  <si>
    <t>FU-1206_3216</t>
    <phoneticPr fontId="2" type="noConversion"/>
  </si>
  <si>
    <t>SMD1206-100-30</t>
  </si>
  <si>
    <t>C46641026</t>
  </si>
  <si>
    <t>15V 100mA</t>
    <phoneticPr fontId="2" type="noConversion"/>
  </si>
  <si>
    <t>SMD0603-010-15</t>
  </si>
  <si>
    <t>C46640955</t>
  </si>
  <si>
    <t>15V 100mA 0603</t>
    <phoneticPr fontId="2" type="noConversion"/>
  </si>
  <si>
    <t>FU-0603_1608</t>
    <phoneticPr fontId="2" type="noConversion"/>
  </si>
  <si>
    <t>30V 1A</t>
    <phoneticPr fontId="2" type="noConversion"/>
  </si>
  <si>
    <t>30V 1A 1206</t>
    <phoneticPr fontId="2" type="noConversion"/>
  </si>
  <si>
    <t>30V 200mA</t>
  </si>
  <si>
    <t>30V 200mA 1206</t>
    <phoneticPr fontId="2" type="noConversion"/>
  </si>
  <si>
    <t>SMD1206-020-30</t>
  </si>
  <si>
    <t>C46641002</t>
  </si>
  <si>
    <t>LDO</t>
  </si>
  <si>
    <t>RT9193T-15G</t>
  </si>
  <si>
    <t>RT9193T-25G</t>
  </si>
  <si>
    <t>RT9193T-30G</t>
  </si>
  <si>
    <t>RT9193T-33G</t>
  </si>
  <si>
    <t>TPMIC5504-3.3</t>
  </si>
  <si>
    <t>50us 300mA 输入2.5-5.5V 输出1.5V</t>
  </si>
  <si>
    <t>50us 300mA 输入2.5-5.5V 输出2.5V</t>
  </si>
  <si>
    <t>50us 300mA 输入2.5-5.5V 输出3.0V</t>
  </si>
  <si>
    <t>50us 300mA 输入2.5-5.5V 输出3.3V</t>
  </si>
  <si>
    <t>SCHlib\Power-LDO\Power-LDO-RT9193_5P.SchLib</t>
    <phoneticPr fontId="2" type="noConversion"/>
  </si>
  <si>
    <t>RT9193_5P</t>
    <phoneticPr fontId="2" type="noConversion"/>
  </si>
  <si>
    <t>SCHlib\Power-LDO\Power-LDO-TPMIC5504-3.3YM5.SchLib</t>
    <phoneticPr fontId="2" type="noConversion"/>
  </si>
  <si>
    <t>PCBlib\Leaded\SOT\SOT-23.PCBLIB</t>
    <phoneticPr fontId="2" type="noConversion"/>
  </si>
  <si>
    <t>SOT-23_5</t>
  </si>
  <si>
    <t>SOT-23_5</t>
    <phoneticPr fontId="2" type="noConversion"/>
  </si>
  <si>
    <t>RT9193-15GB</t>
  </si>
  <si>
    <t>RT9193-15GB</t>
    <phoneticPr fontId="2" type="noConversion"/>
  </si>
  <si>
    <t>RICHTEK(立锜)</t>
  </si>
  <si>
    <t>C2972229</t>
  </si>
  <si>
    <t>RT9193-25GB</t>
    <phoneticPr fontId="2" type="noConversion"/>
  </si>
  <si>
    <t>C55115</t>
  </si>
  <si>
    <t>RT9193-30GB</t>
  </si>
  <si>
    <t>RT9193-30GB</t>
    <phoneticPr fontId="2" type="noConversion"/>
  </si>
  <si>
    <t>C50004</t>
  </si>
  <si>
    <t>RT9193-33GB</t>
  </si>
  <si>
    <t>RT9193-33GB</t>
    <phoneticPr fontId="2" type="noConversion"/>
  </si>
  <si>
    <t>C15651</t>
  </si>
  <si>
    <t>RT9193T-15G</t>
    <phoneticPr fontId="2" type="noConversion"/>
  </si>
  <si>
    <t>RT9193-12GB-MS</t>
  </si>
  <si>
    <t>50us 300mA 输入6V 输出1.2V</t>
    <phoneticPr fontId="2" type="noConversion"/>
  </si>
  <si>
    <t>C7528819</t>
  </si>
  <si>
    <t>MSKSEMI(美森科)</t>
  </si>
  <si>
    <t>3.2K</t>
    <phoneticPr fontId="2" type="noConversion"/>
  </si>
  <si>
    <t>3.2k ±0.1% 100mW</t>
    <phoneticPr fontId="2" type="noConversion"/>
  </si>
  <si>
    <r>
      <t>YAGEO(</t>
    </r>
    <r>
      <rPr>
        <sz val="12"/>
        <color rgb="FF444444"/>
        <rFont val="微软雅黑"/>
        <family val="2"/>
        <charset val="134"/>
      </rPr>
      <t>国巨</t>
    </r>
    <r>
      <rPr>
        <sz val="12"/>
        <color rgb="FF444444"/>
        <rFont val="Arial"/>
        <family val="2"/>
      </rPr>
      <t>)</t>
    </r>
    <phoneticPr fontId="2" type="noConversion"/>
  </si>
  <si>
    <t>RT0603BRD073K2L</t>
  </si>
  <si>
    <t>C861375</t>
  </si>
  <si>
    <t>4.7k ±1% 100mW</t>
    <phoneticPr fontId="2" type="noConversion"/>
  </si>
  <si>
    <t>0603WAF4701T5E</t>
  </si>
  <si>
    <t>C23162</t>
  </si>
  <si>
    <t>RC0603FR-074K7L</t>
  </si>
  <si>
    <t>C99782</t>
  </si>
  <si>
    <t>4.7k ±5% 100mW</t>
    <phoneticPr fontId="2" type="noConversion"/>
  </si>
  <si>
    <t>0603WAJ0472T5E</t>
  </si>
  <si>
    <t>C25999</t>
  </si>
  <si>
    <t>RC0603JR-074K7L</t>
  </si>
  <si>
    <t>C105428</t>
  </si>
  <si>
    <t>9.1K</t>
    <phoneticPr fontId="2" type="noConversion"/>
  </si>
  <si>
    <t>9.1k ±1% 100mW</t>
    <phoneticPr fontId="2" type="noConversion"/>
  </si>
  <si>
    <t>0603WAF9101T5E</t>
  </si>
  <si>
    <t>C23260</t>
  </si>
  <si>
    <t>9.1k ±0.1% 100mW</t>
    <phoneticPr fontId="2" type="noConversion"/>
  </si>
  <si>
    <t>RT0603BRD079K1L</t>
  </si>
  <si>
    <t>C861612</t>
  </si>
  <si>
    <t>RC0603FR-079K1L</t>
  </si>
  <si>
    <t>C114639</t>
  </si>
  <si>
    <t>2k ±1% 100mW</t>
    <phoneticPr fontId="2" type="noConversion"/>
  </si>
  <si>
    <t>0603WAF2001T5E</t>
  </si>
  <si>
    <t>C22975</t>
  </si>
  <si>
    <t>2k ±0.1% 100mW</t>
    <phoneticPr fontId="2" type="noConversion"/>
  </si>
  <si>
    <t>RT0603BRD072KL</t>
  </si>
  <si>
    <t>C728588</t>
  </si>
  <si>
    <t>2k ±5% 100mW</t>
    <phoneticPr fontId="2" type="noConversion"/>
  </si>
  <si>
    <t>0603WAJ0202T5E</t>
  </si>
  <si>
    <t>C25590</t>
  </si>
  <si>
    <t>RC0603FR-072KL</t>
  </si>
  <si>
    <t>C105576</t>
  </si>
  <si>
    <t>68k ±1% 100mW</t>
    <phoneticPr fontId="2" type="noConversion"/>
  </si>
  <si>
    <t>0603WAF6802T5E</t>
  </si>
  <si>
    <t>C23231</t>
  </si>
  <si>
    <t>68k ±0.1% 100mW</t>
    <phoneticPr fontId="2" type="noConversion"/>
  </si>
  <si>
    <t>RT0603BRD0768KL</t>
  </si>
  <si>
    <t>C705793</t>
  </si>
  <si>
    <t>厚膜电阻</t>
    <phoneticPr fontId="2" type="noConversion"/>
  </si>
  <si>
    <t>5.1k ±1% 100mW</t>
    <phoneticPr fontId="2" type="noConversion"/>
  </si>
  <si>
    <t>0603WAF5101T5E</t>
  </si>
  <si>
    <t>C23186</t>
  </si>
  <si>
    <t>5.1k ±5% 100mW</t>
    <phoneticPr fontId="2" type="noConversion"/>
  </si>
  <si>
    <t>0603WAJ0512T5E</t>
  </si>
  <si>
    <t>C26000</t>
  </si>
  <si>
    <t>10k ±1% 100mW</t>
    <phoneticPr fontId="2" type="noConversion"/>
  </si>
  <si>
    <t>0603WAF1002T5E</t>
  </si>
  <si>
    <t>C25804</t>
  </si>
  <si>
    <t>10k ±0.1% 100mW</t>
    <phoneticPr fontId="2" type="noConversion"/>
  </si>
  <si>
    <t>RT0603BRD0710KL</t>
  </si>
  <si>
    <t>C95204</t>
  </si>
  <si>
    <t>10k ±5% 100mW</t>
    <phoneticPr fontId="2" type="noConversion"/>
  </si>
  <si>
    <t>0603WAJ0103T5E</t>
  </si>
  <si>
    <t>C15401</t>
  </si>
  <si>
    <t>RC0603JR-0710KL</t>
  </si>
  <si>
    <t>C99198</t>
  </si>
  <si>
    <t>20k ±1% 100mW</t>
    <phoneticPr fontId="2" type="noConversion"/>
  </si>
  <si>
    <t>0603WAF2002T5E</t>
  </si>
  <si>
    <t>C4184</t>
  </si>
  <si>
    <t>20k ±0.1% 100mW</t>
    <phoneticPr fontId="2" type="noConversion"/>
  </si>
  <si>
    <t>RT0603BRD0720KL</t>
  </si>
  <si>
    <t>C723637</t>
  </si>
  <si>
    <t>20k ±5% 100mW</t>
    <phoneticPr fontId="2" type="noConversion"/>
  </si>
  <si>
    <t>0603WAJ0203T5E</t>
  </si>
  <si>
    <t>C25586</t>
  </si>
  <si>
    <t>100k ±1% 100mW</t>
    <phoneticPr fontId="2" type="noConversion"/>
  </si>
  <si>
    <t>0603WAF1003T5E</t>
  </si>
  <si>
    <t>C25803</t>
  </si>
  <si>
    <t>RC0603FR-07100KL</t>
  </si>
  <si>
    <t>C14675</t>
  </si>
  <si>
    <t>100k ±0.1% 100mW</t>
    <phoneticPr fontId="2" type="noConversion"/>
  </si>
  <si>
    <t>C122538</t>
  </si>
  <si>
    <t>RT0603BRD07100KL</t>
  </si>
  <si>
    <t>100k ±5% 100mW</t>
    <phoneticPr fontId="2" type="noConversion"/>
  </si>
  <si>
    <t>0603WAJ0104T5E</t>
  </si>
  <si>
    <t>C15458</t>
  </si>
  <si>
    <t>RC0603JR-07100KL</t>
  </si>
  <si>
    <t>C100048</t>
  </si>
  <si>
    <t>8M 20pF</t>
    <phoneticPr fontId="2" type="noConversion"/>
  </si>
  <si>
    <t>XTAL</t>
  </si>
  <si>
    <t>8MHZ 2P 5032 20PF ±10PPM -40~85℃ (±30PPM)</t>
  </si>
  <si>
    <t>8M</t>
    <phoneticPr fontId="2" type="noConversion"/>
  </si>
  <si>
    <t>YXC(扬兴晶振)</t>
  </si>
  <si>
    <t>XG1EL89CSI-111YLC-8M</t>
  </si>
  <si>
    <t>C5280575</t>
  </si>
  <si>
    <t>XTAL_2P</t>
  </si>
  <si>
    <t>SCHlib\Crystals\Crystals-XTAL.SchLib</t>
    <phoneticPr fontId="2" type="noConversion"/>
  </si>
  <si>
    <t>PCBlib\Passives\Passives-Crystals.PCBLIB</t>
    <phoneticPr fontId="2" type="noConversion"/>
  </si>
  <si>
    <t>XTAL-5032_2P</t>
    <phoneticPr fontId="2" type="noConversion"/>
  </si>
  <si>
    <t xml:space="preserve">12M </t>
    <phoneticPr fontId="2" type="noConversion"/>
  </si>
  <si>
    <t>12MHZ 2P 5032 20PF ±10PPM -40~85℃ (±20PPM)</t>
  </si>
  <si>
    <t>12M 20pF</t>
    <phoneticPr fontId="2" type="noConversion"/>
  </si>
  <si>
    <t>X503212MSB2GI</t>
  </si>
  <si>
    <t>C112573</t>
  </si>
  <si>
    <t>XG1EL89CSI-111YLC-12M</t>
  </si>
  <si>
    <t>C7528814</t>
  </si>
  <si>
    <t>12MHZ 4P 5032 20PF ±10PPM -40~85℃ (±20PPM)</t>
  </si>
  <si>
    <t>XTAL_4P</t>
    <phoneticPr fontId="2" type="noConversion"/>
  </si>
  <si>
    <t>XTAL-5032_4P</t>
    <phoneticPr fontId="2" type="noConversion"/>
  </si>
  <si>
    <t>X503212MSB4SI</t>
  </si>
  <si>
    <t>C112588</t>
  </si>
  <si>
    <t>20pF ±5% 50V NP0 0603</t>
    <phoneticPr fontId="2" type="noConversion"/>
  </si>
  <si>
    <t>20pF ±5% 50V NP0</t>
    <phoneticPr fontId="2" type="noConversion"/>
  </si>
  <si>
    <t>20pF</t>
    <phoneticPr fontId="2" type="noConversion"/>
  </si>
  <si>
    <t>CC0603JRNPO9BN200</t>
  </si>
  <si>
    <t>C105621</t>
  </si>
  <si>
    <t>0.0167</t>
    <phoneticPr fontId="2" type="noConversion"/>
  </si>
  <si>
    <t>20pF ±5% 50V C0G</t>
    <phoneticPr fontId="2" type="noConversion"/>
  </si>
  <si>
    <t>20pF ±5% 50V C0G 0603</t>
    <phoneticPr fontId="2" type="noConversion"/>
  </si>
  <si>
    <t>FH(风华)</t>
  </si>
  <si>
    <t>0603CG200J500NT</t>
    <phoneticPr fontId="2" type="noConversion"/>
  </si>
  <si>
    <t>C91702</t>
  </si>
  <si>
    <t>0.0205</t>
    <phoneticPr fontId="2" type="noConversion"/>
  </si>
  <si>
    <t>TS-1088-AR02016</t>
  </si>
  <si>
    <t>SW</t>
  </si>
  <si>
    <t>贴片无柱轻触开关</t>
  </si>
  <si>
    <t>TS-1088-AR02016</t>
    <phoneticPr fontId="2" type="noConversion"/>
  </si>
  <si>
    <t>1.6N</t>
    <phoneticPr fontId="2" type="noConversion"/>
  </si>
  <si>
    <t>XUNPU(讯普)</t>
  </si>
  <si>
    <t>C720477</t>
  </si>
  <si>
    <t>12V</t>
  </si>
  <si>
    <t>TS-1187A-B-A-B</t>
  </si>
  <si>
    <t>5.1*5.1*1.5mm 立贴 轻触开关</t>
  </si>
  <si>
    <t>XKB Connection(中国星坤)</t>
  </si>
  <si>
    <t>C318884</t>
  </si>
  <si>
    <t>TSD4A 250gf-DZ</t>
  </si>
  <si>
    <t>2.5N</t>
  </si>
  <si>
    <t>SHOU HAN(首韩)</t>
  </si>
  <si>
    <t>C431531</t>
  </si>
  <si>
    <t>PS-6830DVA-6PL</t>
  </si>
  <si>
    <t>SW</t>
    <phoneticPr fontId="2" type="noConversion"/>
  </si>
  <si>
    <t>平头自锁,行程1.0mm,按动力180gf,带防水帽,IP65</t>
  </si>
  <si>
    <t>1.8N</t>
  </si>
  <si>
    <t>G-Switch(品赞)</t>
  </si>
  <si>
    <t>C5155620</t>
  </si>
  <si>
    <t>24V</t>
  </si>
  <si>
    <t>SCHlib\Switch\Switch-SW.SchLib</t>
    <phoneticPr fontId="2" type="noConversion"/>
  </si>
  <si>
    <t>SW_2P</t>
    <phoneticPr fontId="2" type="noConversion"/>
  </si>
  <si>
    <t>PCBlib\Switch\Switch-3x4x2_2P.PCBLIB</t>
    <phoneticPr fontId="2" type="noConversion"/>
  </si>
  <si>
    <t>4.7*4.5*1.6mm 卧贴 轻触开关</t>
    <phoneticPr fontId="2" type="noConversion"/>
  </si>
  <si>
    <t>TS-1187A-B-A-B</t>
    <phoneticPr fontId="2" type="noConversion"/>
  </si>
  <si>
    <t>TSD4A 250gf-DZ</t>
    <phoneticPr fontId="2" type="noConversion"/>
  </si>
  <si>
    <t>3x4x2_2P</t>
    <phoneticPr fontId="2" type="noConversion"/>
  </si>
  <si>
    <t>4x4x1.5</t>
  </si>
  <si>
    <t>PCBlib\Switch\Switch-4x4x1.5_4P.PCBLIB</t>
    <phoneticPr fontId="2" type="noConversion"/>
  </si>
  <si>
    <t>KH-MX焊接轴</t>
  </si>
  <si>
    <t>KH-热插拔轴座</t>
  </si>
  <si>
    <t>KH-热插拔轴座_V3</t>
  </si>
  <si>
    <t>KH-矮轴焊接轴</t>
  </si>
  <si>
    <t>KH-矮轴热插拔轴座</t>
  </si>
  <si>
    <t>KBD</t>
    <phoneticPr fontId="2" type="noConversion"/>
  </si>
  <si>
    <t>1.25U 平衡杠</t>
  </si>
  <si>
    <t>6.25U 平衡杠</t>
  </si>
  <si>
    <t>6U-HHKB 平衡杠</t>
  </si>
  <si>
    <t>7U 平衡杠</t>
  </si>
  <si>
    <t>Mark1.0</t>
  </si>
  <si>
    <t>Mark1.6</t>
  </si>
  <si>
    <t>Other</t>
  </si>
  <si>
    <t>Mark1.0 机器定位点</t>
  </si>
  <si>
    <t>Mark1.6 机器定位点</t>
  </si>
  <si>
    <t>8M 33pF</t>
    <phoneticPr fontId="2" type="noConversion"/>
  </si>
  <si>
    <t>8MHz ±0.1% 内置负载电容:33pF</t>
  </si>
  <si>
    <t>8M</t>
  </si>
  <si>
    <t>muRata(村田)</t>
  </si>
  <si>
    <t>CSTCE8M00G15C99-R0</t>
  </si>
  <si>
    <t>C110614</t>
  </si>
  <si>
    <t>SCHlib\Switch\Switch-keyboard.SchLib</t>
    <phoneticPr fontId="2" type="noConversion"/>
  </si>
  <si>
    <t>MX轴</t>
  </si>
  <si>
    <t>Choc矮轴</t>
  </si>
  <si>
    <t>KH-MX焊接轴</t>
    <phoneticPr fontId="2" type="noConversion"/>
  </si>
  <si>
    <t>1.25U</t>
  </si>
  <si>
    <t>1.25U</t>
    <phoneticPr fontId="2" type="noConversion"/>
  </si>
  <si>
    <t>6.25U</t>
  </si>
  <si>
    <t>7U</t>
  </si>
  <si>
    <t>6.25U</t>
    <phoneticPr fontId="2" type="noConversion"/>
  </si>
  <si>
    <t>6U-HHKB</t>
    <phoneticPr fontId="2" type="noConversion"/>
  </si>
  <si>
    <t>7U</t>
    <phoneticPr fontId="2" type="noConversion"/>
  </si>
  <si>
    <t>MX轴</t>
    <phoneticPr fontId="2" type="noConversion"/>
  </si>
  <si>
    <t>矮轴</t>
    <phoneticPr fontId="2" type="noConversion"/>
  </si>
  <si>
    <t>平衡杠</t>
    <phoneticPr fontId="2" type="noConversion"/>
  </si>
  <si>
    <t>PCBlib\Switch\Switch-Keyboard.PCBLIB</t>
    <phoneticPr fontId="2" type="noConversion"/>
  </si>
  <si>
    <t>6U_HHKB</t>
  </si>
  <si>
    <t>KH_矮轴热插拔</t>
  </si>
  <si>
    <t>KH_矮轴焊接</t>
    <phoneticPr fontId="2" type="noConversion"/>
  </si>
  <si>
    <t>KH_焊接</t>
    <phoneticPr fontId="2" type="noConversion"/>
  </si>
  <si>
    <t>KH_热插拔</t>
  </si>
  <si>
    <t>CD4148WSP</t>
  </si>
  <si>
    <t>CD4148WP</t>
  </si>
  <si>
    <t>CD4148WTP</t>
  </si>
  <si>
    <t>SBD</t>
  </si>
  <si>
    <t>开关二极管 0805</t>
  </si>
  <si>
    <t>开关二极管 1206</t>
  </si>
  <si>
    <t>开关二极管 0603</t>
  </si>
  <si>
    <t>PSBD1DF40V1H</t>
  </si>
  <si>
    <t>BAT54C</t>
  </si>
  <si>
    <t>DSK34</t>
  </si>
  <si>
    <t>SMF5.0CA</t>
  </si>
  <si>
    <t>MM1Z5V1 SOD-123</t>
    <phoneticPr fontId="2" type="noConversion"/>
  </si>
  <si>
    <t>正向压降:550mV@1A 整流电流:1A</t>
  </si>
  <si>
    <t xml:space="preserve">	肖特基二极管 	1对共阴极</t>
  </si>
  <si>
    <t>肖特基二极管 电压:40V 电流:3A</t>
  </si>
  <si>
    <t>TVS/ESD</t>
  </si>
  <si>
    <t>反向截止电压:5V</t>
  </si>
  <si>
    <t>稳压二极管</t>
  </si>
  <si>
    <t>5.1V 4.8V~5.4V SOD-123</t>
    <phoneticPr fontId="2" type="noConversion"/>
  </si>
  <si>
    <t>SCHlib\Diodes\Diodes-SBD.SchLib</t>
    <phoneticPr fontId="2" type="noConversion"/>
  </si>
  <si>
    <t>D-0805_2012</t>
  </si>
  <si>
    <t>PCBlib\Passives\Passives-SMD_D.PCBLIB</t>
    <phoneticPr fontId="2" type="noConversion"/>
  </si>
  <si>
    <t>BAT54C</t>
    <phoneticPr fontId="2" type="noConversion"/>
  </si>
  <si>
    <t>DSK34</t>
    <phoneticPr fontId="2" type="noConversion"/>
  </si>
  <si>
    <t>D</t>
    <phoneticPr fontId="2" type="noConversion"/>
  </si>
  <si>
    <t>PSBD1DF40V1H</t>
    <phoneticPr fontId="2" type="noConversion"/>
  </si>
  <si>
    <t>KH_热插拔_V3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</si>
</sst>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2"/>
      <color rgb="FF00000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rgb="FF444444"/>
      <name val="Arial"/>
      <family val="2"/>
    </font>
    <font>
      <sz val="11"/>
      <color rgb="FF000000"/>
      <name val="Arial"/>
      <family val="2"/>
    </font>
    <font>
      <sz val="11"/>
      <color rgb="FF000000"/>
      <name val="宋体"/>
      <family val="3"/>
    </font>
    <font>
      <sz val="12"/>
      <color rgb="FF444444"/>
      <name val="宋体"/>
      <family val="2"/>
      <charset val="134"/>
    </font>
    <font>
      <sz val="12"/>
      <color rgb="FF444444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0" fontId="6" fillId="0" borderId="0" xfId="2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9" fontId="6" fillId="0" borderId="0" xfId="1" applyNumberFormat="1" applyFont="1" applyAlignment="1">
      <alignment vertical="center" wrapText="1"/>
    </xf>
    <xf numFmtId="49" fontId="6" fillId="0" borderId="1" xfId="1" applyNumberFormat="1" applyFont="1" applyBorder="1" applyAlignment="1">
      <alignment vertical="center" wrapText="1"/>
    </xf>
    <xf numFmtId="49" fontId="0" fillId="0" borderId="0" xfId="0" applyNumberFormat="1" applyAlignment="1">
      <alignment vertical="center"/>
    </xf>
    <xf numFmtId="49" fontId="6" fillId="0" borderId="1" xfId="1" applyNumberFormat="1" applyFont="1" applyBorder="1" applyAlignment="1">
      <alignment horizontal="left" vertical="center" wrapText="1"/>
    </xf>
    <xf numFmtId="0" fontId="6" fillId="0" borderId="1" xfId="4" applyFont="1" applyBorder="1" applyAlignment="1">
      <alignment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6" fillId="0" borderId="1" xfId="5" applyFont="1" applyBorder="1" applyAlignment="1">
      <alignment vertical="center" wrapText="1"/>
    </xf>
    <xf numFmtId="0" fontId="6" fillId="0" borderId="1" xfId="6" applyFont="1" applyBorder="1" applyAlignment="1">
      <alignment horizontal="left" vertical="center" wrapText="1"/>
    </xf>
  </cellXfs>
  <cellStyles count="7">
    <cellStyle name="常规" xfId="0" builtinId="0"/>
    <cellStyle name="常规_Diodes" xfId="6" xr:uid="{B289B75F-DEDC-49A8-9CC1-0FFFFADFD9AF}"/>
    <cellStyle name="常规_MCU" xfId="3" xr:uid="{89ADBCA8-C613-4064-8706-E611E6AE21BD}"/>
    <cellStyle name="常规_Other" xfId="5" xr:uid="{84302BEC-28EC-46A1-9322-C38DBB1A421D}"/>
    <cellStyle name="常规_PWR-LDO" xfId="4" xr:uid="{4750544E-E9C1-4D36-A153-C10D344D5874}"/>
    <cellStyle name="常规_RES" xfId="2" xr:uid="{04551C16-CDEC-4B06-9485-1FAE1241EDEA}"/>
    <cellStyle name="常规_Sheet1" xfId="1" xr:uid="{F4BF4C8D-63AD-4582-A3A2-F4770C43FE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"/>
  <sheetViews>
    <sheetView zoomScale="85" zoomScaleNormal="85" workbookViewId="0">
      <pane ySplit="1" topLeftCell="A66" activePane="bottomLeft" state="frozen"/>
      <selection pane="bottomLeft" activeCell="S85" sqref="S85"/>
    </sheetView>
  </sheetViews>
  <sheetFormatPr defaultColWidth="20.625" defaultRowHeight="30" customHeight="1" x14ac:dyDescent="0.2"/>
  <cols>
    <col min="1" max="3" width="20.625" style="3"/>
    <col min="4" max="5" width="15.625" style="3" customWidth="1"/>
    <col min="6" max="6" width="20.625" style="3"/>
    <col min="7" max="7" width="15.625" style="3" customWidth="1"/>
    <col min="8" max="11" width="20.625" style="3"/>
    <col min="12" max="13" width="15.625" style="3" customWidth="1"/>
    <col min="14" max="14" width="20.625" style="3"/>
    <col min="15" max="18" width="10.625" style="3" customWidth="1"/>
    <col min="19" max="16384" width="20.625" style="3"/>
  </cols>
  <sheetData>
    <row r="1" spans="1:19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3" t="s">
        <v>11</v>
      </c>
      <c r="P1" s="3" t="s">
        <v>12</v>
      </c>
      <c r="Q1" s="3" t="s">
        <v>58</v>
      </c>
      <c r="R1" s="3" t="s">
        <v>57</v>
      </c>
      <c r="S1" s="3" t="s">
        <v>31</v>
      </c>
    </row>
    <row r="2" spans="1:19" ht="30" customHeight="1" x14ac:dyDescent="0.2">
      <c r="A2" s="5" t="s">
        <v>19</v>
      </c>
      <c r="B2" s="5" t="s">
        <v>27</v>
      </c>
      <c r="C2" s="5" t="s">
        <v>33</v>
      </c>
      <c r="D2" s="6" t="s">
        <v>30</v>
      </c>
      <c r="E2" s="6" t="s">
        <v>18</v>
      </c>
      <c r="F2" s="7" t="s">
        <v>336</v>
      </c>
      <c r="G2" s="7" t="s">
        <v>148</v>
      </c>
      <c r="H2" s="7" t="s">
        <v>337</v>
      </c>
      <c r="P2" s="13"/>
      <c r="Q2" s="13"/>
      <c r="R2" s="13"/>
      <c r="S2" s="3">
        <f>ROW()-1</f>
        <v>1</v>
      </c>
    </row>
    <row r="3" spans="1:19" ht="30" customHeight="1" x14ac:dyDescent="0.2">
      <c r="A3" s="5" t="s">
        <v>20</v>
      </c>
      <c r="B3" s="5" t="s">
        <v>28</v>
      </c>
      <c r="C3" s="5" t="s">
        <v>149</v>
      </c>
      <c r="D3" s="6" t="s">
        <v>30</v>
      </c>
      <c r="E3" s="6" t="s">
        <v>18</v>
      </c>
      <c r="F3" s="7" t="s">
        <v>336</v>
      </c>
      <c r="G3" s="7" t="s">
        <v>150</v>
      </c>
      <c r="H3" s="7" t="s">
        <v>337</v>
      </c>
      <c r="P3" s="1"/>
      <c r="Q3" s="1"/>
      <c r="R3" s="1"/>
      <c r="S3" s="3">
        <f t="shared" ref="S3:S66" si="0">ROW()-1</f>
        <v>2</v>
      </c>
    </row>
    <row r="4" spans="1:19" ht="30" customHeight="1" x14ac:dyDescent="0.2">
      <c r="A4" s="5" t="s">
        <v>21</v>
      </c>
      <c r="B4" s="5" t="s">
        <v>28</v>
      </c>
      <c r="C4" s="5" t="s">
        <v>151</v>
      </c>
      <c r="D4" s="6" t="s">
        <v>30</v>
      </c>
      <c r="E4" s="6" t="s">
        <v>18</v>
      </c>
      <c r="F4" s="7" t="s">
        <v>336</v>
      </c>
      <c r="G4" s="7" t="s">
        <v>152</v>
      </c>
      <c r="H4" s="7" t="s">
        <v>337</v>
      </c>
      <c r="P4" s="1"/>
      <c r="Q4" s="1"/>
      <c r="R4" s="1"/>
      <c r="S4" s="3">
        <f t="shared" si="0"/>
        <v>3</v>
      </c>
    </row>
    <row r="5" spans="1:19" ht="30" customHeight="1" x14ac:dyDescent="0.2">
      <c r="A5" s="5" t="s">
        <v>22</v>
      </c>
      <c r="B5" s="5" t="s">
        <v>28</v>
      </c>
      <c r="C5" s="5" t="s">
        <v>153</v>
      </c>
      <c r="D5" s="6" t="s">
        <v>30</v>
      </c>
      <c r="E5" s="6" t="s">
        <v>18</v>
      </c>
      <c r="F5" s="7" t="s">
        <v>336</v>
      </c>
      <c r="G5" s="7" t="s">
        <v>154</v>
      </c>
      <c r="H5" s="7" t="s">
        <v>337</v>
      </c>
      <c r="P5" s="1"/>
      <c r="Q5" s="1"/>
      <c r="R5" s="1"/>
      <c r="S5" s="3">
        <f t="shared" si="0"/>
        <v>4</v>
      </c>
    </row>
    <row r="6" spans="1:19" ht="30" customHeight="1" x14ac:dyDescent="0.2">
      <c r="A6" s="5" t="s">
        <v>23</v>
      </c>
      <c r="B6" s="5" t="s">
        <v>28</v>
      </c>
      <c r="C6" s="5" t="s">
        <v>155</v>
      </c>
      <c r="D6" s="6" t="s">
        <v>30</v>
      </c>
      <c r="E6" s="6" t="s">
        <v>18</v>
      </c>
      <c r="F6" s="7" t="s">
        <v>336</v>
      </c>
      <c r="G6" s="7" t="s">
        <v>156</v>
      </c>
      <c r="H6" s="7" t="s">
        <v>337</v>
      </c>
      <c r="P6" s="1"/>
      <c r="Q6" s="1"/>
      <c r="R6" s="1"/>
      <c r="S6" s="3">
        <f t="shared" si="0"/>
        <v>5</v>
      </c>
    </row>
    <row r="7" spans="1:19" ht="30" customHeight="1" x14ac:dyDescent="0.2">
      <c r="A7" s="5" t="s">
        <v>24</v>
      </c>
      <c r="B7" s="5" t="s">
        <v>28</v>
      </c>
      <c r="C7" s="5" t="s">
        <v>157</v>
      </c>
      <c r="D7" s="6" t="s">
        <v>30</v>
      </c>
      <c r="E7" s="6" t="s">
        <v>18</v>
      </c>
      <c r="F7" s="7" t="s">
        <v>336</v>
      </c>
      <c r="G7" s="7" t="s">
        <v>158</v>
      </c>
      <c r="H7" s="7" t="s">
        <v>337</v>
      </c>
      <c r="P7" s="1"/>
      <c r="Q7" s="1"/>
      <c r="R7" s="1"/>
      <c r="S7" s="3">
        <f t="shared" si="0"/>
        <v>6</v>
      </c>
    </row>
    <row r="8" spans="1:19" ht="30" customHeight="1" x14ac:dyDescent="0.2">
      <c r="A8" s="5" t="s">
        <v>25</v>
      </c>
      <c r="B8" s="5" t="s">
        <v>28</v>
      </c>
      <c r="C8" s="5" t="s">
        <v>159</v>
      </c>
      <c r="D8" s="6" t="s">
        <v>30</v>
      </c>
      <c r="E8" s="6" t="s">
        <v>18</v>
      </c>
      <c r="F8" s="7" t="s">
        <v>336</v>
      </c>
      <c r="G8" s="7" t="s">
        <v>160</v>
      </c>
      <c r="H8" s="7" t="s">
        <v>337</v>
      </c>
      <c r="P8" s="1"/>
      <c r="Q8" s="1"/>
      <c r="R8" s="1"/>
      <c r="S8" s="3">
        <f t="shared" si="0"/>
        <v>7</v>
      </c>
    </row>
    <row r="9" spans="1:19" ht="30" customHeight="1" x14ac:dyDescent="0.2">
      <c r="A9" s="5" t="s">
        <v>26</v>
      </c>
      <c r="B9" s="5" t="s">
        <v>28</v>
      </c>
      <c r="C9" s="5" t="s">
        <v>29</v>
      </c>
      <c r="D9" s="6" t="s">
        <v>30</v>
      </c>
      <c r="E9" s="6" t="s">
        <v>18</v>
      </c>
      <c r="F9" s="7" t="s">
        <v>336</v>
      </c>
      <c r="G9" s="7" t="s">
        <v>161</v>
      </c>
      <c r="H9" s="7" t="s">
        <v>337</v>
      </c>
      <c r="N9" s="12"/>
      <c r="S9" s="3">
        <f t="shared" si="0"/>
        <v>8</v>
      </c>
    </row>
    <row r="10" spans="1:19" ht="30" customHeight="1" x14ac:dyDescent="0.2">
      <c r="A10" s="5" t="s">
        <v>34</v>
      </c>
      <c r="B10" s="5" t="s">
        <v>47</v>
      </c>
      <c r="C10" s="5" t="s">
        <v>68</v>
      </c>
      <c r="D10" s="9" t="s">
        <v>34</v>
      </c>
      <c r="E10" s="6" t="s">
        <v>18</v>
      </c>
      <c r="F10" s="7" t="s">
        <v>336</v>
      </c>
      <c r="G10" s="7" t="s">
        <v>148</v>
      </c>
      <c r="H10" s="7" t="s">
        <v>337</v>
      </c>
      <c r="I10" s="10" t="s">
        <v>42</v>
      </c>
      <c r="J10" s="3" t="s">
        <v>44</v>
      </c>
      <c r="K10" s="3" t="s">
        <v>43</v>
      </c>
      <c r="L10" s="11" t="s">
        <v>45</v>
      </c>
      <c r="M10" s="3" t="s">
        <v>46</v>
      </c>
      <c r="N10" s="4"/>
      <c r="O10" s="4"/>
      <c r="S10" s="3">
        <f t="shared" si="0"/>
        <v>9</v>
      </c>
    </row>
    <row r="11" spans="1:19" ht="30" customHeight="1" x14ac:dyDescent="0.2">
      <c r="A11" s="5" t="s">
        <v>34</v>
      </c>
      <c r="B11" s="5" t="s">
        <v>47</v>
      </c>
      <c r="C11" s="5" t="s">
        <v>136</v>
      </c>
      <c r="D11" s="9" t="s">
        <v>34</v>
      </c>
      <c r="E11" s="6" t="s">
        <v>18</v>
      </c>
      <c r="F11" s="7" t="s">
        <v>336</v>
      </c>
      <c r="G11" s="7" t="s">
        <v>148</v>
      </c>
      <c r="H11" s="7" t="s">
        <v>337</v>
      </c>
      <c r="I11" s="10" t="s">
        <v>42</v>
      </c>
      <c r="J11" s="3" t="s">
        <v>137</v>
      </c>
      <c r="K11" s="3" t="s">
        <v>138</v>
      </c>
      <c r="L11" s="3" t="s">
        <v>51</v>
      </c>
      <c r="M11" s="3" t="s">
        <v>46</v>
      </c>
      <c r="N11" s="4"/>
      <c r="O11" s="4"/>
      <c r="S11" s="3">
        <f t="shared" si="0"/>
        <v>10</v>
      </c>
    </row>
    <row r="12" spans="1:19" ht="30" customHeight="1" x14ac:dyDescent="0.2">
      <c r="A12" s="5" t="s">
        <v>66</v>
      </c>
      <c r="B12" s="5" t="s">
        <v>47</v>
      </c>
      <c r="C12" s="5" t="s">
        <v>69</v>
      </c>
      <c r="D12" s="5" t="s">
        <v>66</v>
      </c>
      <c r="E12" s="6" t="s">
        <v>18</v>
      </c>
      <c r="F12" s="7" t="s">
        <v>336</v>
      </c>
      <c r="G12" s="7" t="s">
        <v>147</v>
      </c>
      <c r="H12" s="7" t="s">
        <v>337</v>
      </c>
      <c r="I12" s="10" t="s">
        <v>139</v>
      </c>
      <c r="J12" s="3" t="s">
        <v>67</v>
      </c>
      <c r="K12" s="3" t="s">
        <v>140</v>
      </c>
      <c r="L12" s="11" t="s">
        <v>45</v>
      </c>
      <c r="M12" s="3" t="s">
        <v>46</v>
      </c>
      <c r="N12" s="4"/>
      <c r="O12" s="4"/>
      <c r="S12" s="3">
        <f t="shared" si="0"/>
        <v>11</v>
      </c>
    </row>
    <row r="13" spans="1:19" ht="30" customHeight="1" x14ac:dyDescent="0.2">
      <c r="A13" s="5" t="s">
        <v>36</v>
      </c>
      <c r="B13" s="5" t="s">
        <v>47</v>
      </c>
      <c r="C13" s="14" t="s">
        <v>141</v>
      </c>
      <c r="D13" s="5" t="s">
        <v>36</v>
      </c>
      <c r="E13" s="6" t="s">
        <v>18</v>
      </c>
      <c r="F13" s="7" t="s">
        <v>336</v>
      </c>
      <c r="G13" s="7" t="s">
        <v>147</v>
      </c>
      <c r="H13" s="7" t="s">
        <v>337</v>
      </c>
      <c r="I13" s="10" t="s">
        <v>139</v>
      </c>
      <c r="J13" s="3" t="s">
        <v>142</v>
      </c>
      <c r="K13" s="3" t="s">
        <v>143</v>
      </c>
      <c r="L13" s="11" t="s">
        <v>45</v>
      </c>
      <c r="M13" s="3" t="s">
        <v>46</v>
      </c>
      <c r="N13" s="4"/>
      <c r="O13" s="4"/>
      <c r="S13" s="3">
        <f t="shared" si="0"/>
        <v>12</v>
      </c>
    </row>
    <row r="14" spans="1:19" ht="30" customHeight="1" x14ac:dyDescent="0.2">
      <c r="A14" s="5" t="s">
        <v>36</v>
      </c>
      <c r="B14" s="5" t="s">
        <v>47</v>
      </c>
      <c r="C14" s="14" t="s">
        <v>48</v>
      </c>
      <c r="D14" s="9" t="s">
        <v>35</v>
      </c>
      <c r="E14" s="6" t="s">
        <v>18</v>
      </c>
      <c r="F14" s="7" t="s">
        <v>336</v>
      </c>
      <c r="G14" s="7" t="s">
        <v>147</v>
      </c>
      <c r="H14" s="7" t="s">
        <v>337</v>
      </c>
      <c r="I14" s="10" t="s">
        <v>42</v>
      </c>
      <c r="J14" s="3" t="s">
        <v>49</v>
      </c>
      <c r="K14" s="3" t="s">
        <v>50</v>
      </c>
      <c r="L14" s="3" t="s">
        <v>51</v>
      </c>
      <c r="M14" s="3" t="s">
        <v>46</v>
      </c>
      <c r="N14" s="12"/>
      <c r="S14" s="3">
        <f t="shared" si="0"/>
        <v>13</v>
      </c>
    </row>
    <row r="15" spans="1:19" ht="30" customHeight="1" x14ac:dyDescent="0.2">
      <c r="A15" s="5" t="s">
        <v>37</v>
      </c>
      <c r="B15" s="5" t="s">
        <v>47</v>
      </c>
      <c r="C15" s="5" t="s">
        <v>56</v>
      </c>
      <c r="D15" s="5" t="s">
        <v>37</v>
      </c>
      <c r="E15" s="6" t="s">
        <v>18</v>
      </c>
      <c r="F15" s="7" t="s">
        <v>336</v>
      </c>
      <c r="G15" s="7" t="s">
        <v>147</v>
      </c>
      <c r="H15" s="7" t="s">
        <v>337</v>
      </c>
      <c r="I15" s="10" t="s">
        <v>42</v>
      </c>
      <c r="J15" s="3" t="s">
        <v>52</v>
      </c>
      <c r="K15" s="3" t="s">
        <v>53</v>
      </c>
      <c r="L15" s="11" t="s">
        <v>45</v>
      </c>
      <c r="S15" s="3">
        <f t="shared" si="0"/>
        <v>14</v>
      </c>
    </row>
    <row r="16" spans="1:19" ht="30" customHeight="1" x14ac:dyDescent="0.2">
      <c r="A16" s="5" t="s">
        <v>37</v>
      </c>
      <c r="B16" s="5" t="s">
        <v>47</v>
      </c>
      <c r="C16" s="5" t="s">
        <v>144</v>
      </c>
      <c r="D16" s="5" t="s">
        <v>37</v>
      </c>
      <c r="E16" s="6" t="s">
        <v>18</v>
      </c>
      <c r="F16" s="7" t="s">
        <v>336</v>
      </c>
      <c r="G16" s="7" t="s">
        <v>147</v>
      </c>
      <c r="H16" s="7" t="s">
        <v>337</v>
      </c>
      <c r="I16" s="10" t="s">
        <v>42</v>
      </c>
      <c r="J16" s="3" t="s">
        <v>145</v>
      </c>
      <c r="K16" s="3" t="s">
        <v>146</v>
      </c>
      <c r="L16" s="3" t="s">
        <v>51</v>
      </c>
      <c r="S16" s="3">
        <f t="shared" si="0"/>
        <v>15</v>
      </c>
    </row>
    <row r="17" spans="1:19" ht="30" customHeight="1" x14ac:dyDescent="0.2">
      <c r="A17" s="5" t="s">
        <v>93</v>
      </c>
      <c r="B17" s="5" t="s">
        <v>47</v>
      </c>
      <c r="C17" s="5" t="s">
        <v>117</v>
      </c>
      <c r="D17" s="5" t="s">
        <v>93</v>
      </c>
      <c r="E17" s="6" t="s">
        <v>18</v>
      </c>
      <c r="F17" s="7" t="s">
        <v>336</v>
      </c>
      <c r="G17" s="7" t="s">
        <v>147</v>
      </c>
      <c r="H17" s="7" t="s">
        <v>337</v>
      </c>
      <c r="I17" s="10" t="s">
        <v>42</v>
      </c>
      <c r="J17" s="3" t="s">
        <v>115</v>
      </c>
      <c r="K17" s="3" t="s">
        <v>116</v>
      </c>
      <c r="L17" s="11" t="s">
        <v>45</v>
      </c>
      <c r="S17" s="3">
        <f t="shared" si="0"/>
        <v>16</v>
      </c>
    </row>
    <row r="18" spans="1:19" ht="30" customHeight="1" x14ac:dyDescent="0.2">
      <c r="A18" s="5" t="s">
        <v>38</v>
      </c>
      <c r="B18" s="5" t="s">
        <v>47</v>
      </c>
      <c r="C18" s="5" t="s">
        <v>59</v>
      </c>
      <c r="D18" s="5" t="s">
        <v>38</v>
      </c>
      <c r="E18" s="6" t="s">
        <v>18</v>
      </c>
      <c r="F18" s="7" t="s">
        <v>336</v>
      </c>
      <c r="G18" s="7" t="s">
        <v>147</v>
      </c>
      <c r="H18" s="7" t="s">
        <v>337</v>
      </c>
      <c r="I18" s="10" t="s">
        <v>42</v>
      </c>
      <c r="J18" s="3" t="s">
        <v>54</v>
      </c>
      <c r="K18" s="3" t="s">
        <v>55</v>
      </c>
      <c r="L18" s="11" t="s">
        <v>45</v>
      </c>
      <c r="M18" s="3" t="s">
        <v>46</v>
      </c>
      <c r="S18" s="3">
        <f t="shared" si="0"/>
        <v>17</v>
      </c>
    </row>
    <row r="19" spans="1:19" ht="30" customHeight="1" x14ac:dyDescent="0.2">
      <c r="A19" s="5" t="s">
        <v>94</v>
      </c>
      <c r="B19" s="5" t="s">
        <v>47</v>
      </c>
      <c r="C19" s="5" t="s">
        <v>120</v>
      </c>
      <c r="D19" s="5" t="s">
        <v>94</v>
      </c>
      <c r="E19" s="6" t="s">
        <v>18</v>
      </c>
      <c r="F19" s="7" t="s">
        <v>336</v>
      </c>
      <c r="G19" s="7" t="s">
        <v>147</v>
      </c>
      <c r="H19" s="7" t="s">
        <v>337</v>
      </c>
      <c r="I19" s="10" t="s">
        <v>42</v>
      </c>
      <c r="J19" s="3" t="s">
        <v>118</v>
      </c>
      <c r="K19" s="3" t="s">
        <v>119</v>
      </c>
      <c r="L19" s="3" t="s">
        <v>51</v>
      </c>
      <c r="S19" s="3">
        <f t="shared" si="0"/>
        <v>18</v>
      </c>
    </row>
    <row r="20" spans="1:19" ht="30" customHeight="1" x14ac:dyDescent="0.2">
      <c r="A20" s="5" t="s">
        <v>39</v>
      </c>
      <c r="B20" s="5" t="s">
        <v>47</v>
      </c>
      <c r="C20" s="5" t="s">
        <v>60</v>
      </c>
      <c r="D20" s="5" t="s">
        <v>39</v>
      </c>
      <c r="E20" s="6" t="s">
        <v>18</v>
      </c>
      <c r="F20" s="7" t="s">
        <v>336</v>
      </c>
      <c r="G20" s="7" t="s">
        <v>147</v>
      </c>
      <c r="H20" s="7" t="s">
        <v>337</v>
      </c>
      <c r="I20" s="10" t="s">
        <v>42</v>
      </c>
      <c r="J20" s="3" t="s">
        <v>61</v>
      </c>
      <c r="K20" s="3" t="s">
        <v>62</v>
      </c>
      <c r="L20" s="3" t="s">
        <v>51</v>
      </c>
      <c r="M20" s="3" t="s">
        <v>46</v>
      </c>
      <c r="S20" s="3">
        <f t="shared" si="0"/>
        <v>19</v>
      </c>
    </row>
    <row r="21" spans="1:19" ht="30" customHeight="1" x14ac:dyDescent="0.2">
      <c r="A21" s="7" t="s">
        <v>32</v>
      </c>
      <c r="B21" s="5" t="s">
        <v>47</v>
      </c>
      <c r="C21" s="7" t="s">
        <v>65</v>
      </c>
      <c r="D21" s="7" t="s">
        <v>32</v>
      </c>
      <c r="E21" s="6" t="s">
        <v>18</v>
      </c>
      <c r="F21" s="7" t="s">
        <v>336</v>
      </c>
      <c r="G21" s="7" t="s">
        <v>147</v>
      </c>
      <c r="H21" s="7" t="s">
        <v>337</v>
      </c>
      <c r="I21" s="10" t="s">
        <v>42</v>
      </c>
      <c r="J21" s="3" t="s">
        <v>63</v>
      </c>
      <c r="K21" s="3" t="s">
        <v>64</v>
      </c>
      <c r="L21" s="11" t="s">
        <v>45</v>
      </c>
      <c r="M21" s="3" t="s">
        <v>46</v>
      </c>
      <c r="S21" s="3">
        <f t="shared" si="0"/>
        <v>20</v>
      </c>
    </row>
    <row r="22" spans="1:19" ht="30" customHeight="1" x14ac:dyDescent="0.2">
      <c r="A22" s="7" t="s">
        <v>40</v>
      </c>
      <c r="B22" s="5" t="s">
        <v>47</v>
      </c>
      <c r="C22" s="7" t="s">
        <v>107</v>
      </c>
      <c r="D22" s="7" t="s">
        <v>40</v>
      </c>
      <c r="E22" s="6" t="s">
        <v>18</v>
      </c>
      <c r="F22" s="7" t="s">
        <v>336</v>
      </c>
      <c r="G22" s="7" t="s">
        <v>147</v>
      </c>
      <c r="H22" s="7" t="s">
        <v>337</v>
      </c>
      <c r="I22" s="10" t="s">
        <v>42</v>
      </c>
      <c r="J22" s="3" t="s">
        <v>105</v>
      </c>
      <c r="K22" s="3" t="s">
        <v>106</v>
      </c>
      <c r="L22" s="11" t="s">
        <v>45</v>
      </c>
      <c r="M22" s="3" t="s">
        <v>46</v>
      </c>
      <c r="S22" s="3">
        <f t="shared" si="0"/>
        <v>21</v>
      </c>
    </row>
    <row r="23" spans="1:19" ht="30" customHeight="1" x14ac:dyDescent="0.2">
      <c r="A23" s="7" t="s">
        <v>71</v>
      </c>
      <c r="B23" s="5" t="s">
        <v>47</v>
      </c>
      <c r="C23" s="7" t="s">
        <v>78</v>
      </c>
      <c r="D23" s="7" t="s">
        <v>71</v>
      </c>
      <c r="E23" s="6" t="s">
        <v>18</v>
      </c>
      <c r="F23" s="7" t="s">
        <v>336</v>
      </c>
      <c r="G23" s="7" t="s">
        <v>147</v>
      </c>
      <c r="H23" s="7" t="s">
        <v>337</v>
      </c>
      <c r="I23" s="10" t="s">
        <v>42</v>
      </c>
      <c r="J23" s="3" t="s">
        <v>79</v>
      </c>
      <c r="K23" s="3" t="s">
        <v>80</v>
      </c>
      <c r="L23" s="11" t="s">
        <v>45</v>
      </c>
      <c r="S23" s="3">
        <f t="shared" si="0"/>
        <v>22</v>
      </c>
    </row>
    <row r="24" spans="1:19" ht="30" customHeight="1" x14ac:dyDescent="0.2">
      <c r="A24" s="7" t="s">
        <v>72</v>
      </c>
      <c r="B24" s="5" t="s">
        <v>47</v>
      </c>
      <c r="C24" s="7" t="s">
        <v>81</v>
      </c>
      <c r="D24" s="7" t="s">
        <v>72</v>
      </c>
      <c r="E24" s="6" t="s">
        <v>18</v>
      </c>
      <c r="F24" s="7" t="s">
        <v>336</v>
      </c>
      <c r="G24" s="7" t="s">
        <v>147</v>
      </c>
      <c r="H24" s="7" t="s">
        <v>337</v>
      </c>
      <c r="I24" s="10" t="s">
        <v>42</v>
      </c>
      <c r="J24" s="3" t="s">
        <v>82</v>
      </c>
      <c r="K24" s="3" t="s">
        <v>83</v>
      </c>
      <c r="L24" s="11" t="s">
        <v>45</v>
      </c>
      <c r="M24" s="3" t="s">
        <v>46</v>
      </c>
      <c r="S24" s="3">
        <f t="shared" si="0"/>
        <v>23</v>
      </c>
    </row>
    <row r="25" spans="1:19" ht="30" customHeight="1" x14ac:dyDescent="0.2">
      <c r="A25" s="7" t="s">
        <v>74</v>
      </c>
      <c r="B25" s="5" t="s">
        <v>47</v>
      </c>
      <c r="C25" s="7" t="s">
        <v>86</v>
      </c>
      <c r="D25" s="7" t="s">
        <v>74</v>
      </c>
      <c r="E25" s="6" t="s">
        <v>18</v>
      </c>
      <c r="F25" s="7" t="s">
        <v>336</v>
      </c>
      <c r="G25" s="7" t="s">
        <v>147</v>
      </c>
      <c r="H25" s="7" t="s">
        <v>337</v>
      </c>
      <c r="I25" s="10" t="s">
        <v>42</v>
      </c>
      <c r="J25" s="3" t="s">
        <v>84</v>
      </c>
      <c r="K25" s="3" t="s">
        <v>85</v>
      </c>
      <c r="L25" s="11" t="s">
        <v>45</v>
      </c>
      <c r="M25" s="3" t="s">
        <v>46</v>
      </c>
      <c r="S25" s="3">
        <f t="shared" si="0"/>
        <v>24</v>
      </c>
    </row>
    <row r="26" spans="1:19" ht="30" customHeight="1" x14ac:dyDescent="0.2">
      <c r="A26" s="7" t="s">
        <v>73</v>
      </c>
      <c r="B26" s="5" t="s">
        <v>47</v>
      </c>
      <c r="C26" s="7" t="s">
        <v>92</v>
      </c>
      <c r="D26" s="7" t="s">
        <v>73</v>
      </c>
      <c r="E26" s="6" t="s">
        <v>18</v>
      </c>
      <c r="F26" s="7" t="s">
        <v>336</v>
      </c>
      <c r="G26" s="7" t="s">
        <v>147</v>
      </c>
      <c r="H26" s="7" t="s">
        <v>337</v>
      </c>
      <c r="I26" s="10" t="s">
        <v>42</v>
      </c>
      <c r="J26" s="3" t="s">
        <v>87</v>
      </c>
      <c r="K26" s="3" t="s">
        <v>88</v>
      </c>
      <c r="L26" s="11" t="s">
        <v>45</v>
      </c>
      <c r="S26" s="3">
        <f t="shared" si="0"/>
        <v>25</v>
      </c>
    </row>
    <row r="27" spans="1:19" ht="30" customHeight="1" x14ac:dyDescent="0.2">
      <c r="A27" s="7" t="s">
        <v>75</v>
      </c>
      <c r="B27" s="5" t="s">
        <v>47</v>
      </c>
      <c r="C27" s="7" t="s">
        <v>91</v>
      </c>
      <c r="D27" s="7" t="s">
        <v>75</v>
      </c>
      <c r="E27" s="6" t="s">
        <v>18</v>
      </c>
      <c r="F27" s="7" t="s">
        <v>336</v>
      </c>
      <c r="G27" s="7" t="s">
        <v>147</v>
      </c>
      <c r="H27" s="7" t="s">
        <v>337</v>
      </c>
      <c r="I27" s="10" t="s">
        <v>42</v>
      </c>
      <c r="J27" s="3" t="s">
        <v>89</v>
      </c>
      <c r="K27" s="3" t="s">
        <v>90</v>
      </c>
      <c r="L27" s="11" t="s">
        <v>45</v>
      </c>
      <c r="M27" s="3" t="s">
        <v>46</v>
      </c>
      <c r="S27" s="3">
        <f t="shared" si="0"/>
        <v>26</v>
      </c>
    </row>
    <row r="28" spans="1:19" ht="30" customHeight="1" x14ac:dyDescent="0.2">
      <c r="A28" s="7" t="s">
        <v>95</v>
      </c>
      <c r="B28" s="5" t="s">
        <v>47</v>
      </c>
      <c r="C28" s="7" t="s">
        <v>111</v>
      </c>
      <c r="D28" s="7" t="s">
        <v>95</v>
      </c>
      <c r="E28" s="6" t="s">
        <v>18</v>
      </c>
      <c r="F28" s="7" t="s">
        <v>336</v>
      </c>
      <c r="G28" s="7" t="s">
        <v>147</v>
      </c>
      <c r="H28" s="7" t="s">
        <v>337</v>
      </c>
      <c r="I28" s="10" t="s">
        <v>42</v>
      </c>
      <c r="J28" s="3" t="s">
        <v>101</v>
      </c>
      <c r="K28" s="3" t="s">
        <v>102</v>
      </c>
      <c r="L28" s="11" t="s">
        <v>45</v>
      </c>
      <c r="S28" s="3">
        <f t="shared" si="0"/>
        <v>27</v>
      </c>
    </row>
    <row r="29" spans="1:19" ht="30" customHeight="1" x14ac:dyDescent="0.2">
      <c r="A29" s="7" t="s">
        <v>41</v>
      </c>
      <c r="B29" s="5" t="s">
        <v>47</v>
      </c>
      <c r="C29" s="7" t="s">
        <v>70</v>
      </c>
      <c r="D29" s="7" t="s">
        <v>41</v>
      </c>
      <c r="E29" s="6" t="s">
        <v>18</v>
      </c>
      <c r="F29" s="7" t="s">
        <v>336</v>
      </c>
      <c r="G29" s="7" t="s">
        <v>147</v>
      </c>
      <c r="H29" s="7" t="s">
        <v>337</v>
      </c>
      <c r="I29" s="10" t="s">
        <v>42</v>
      </c>
      <c r="J29" s="3" t="s">
        <v>103</v>
      </c>
      <c r="K29" s="3" t="s">
        <v>104</v>
      </c>
      <c r="L29" s="3" t="s">
        <v>51</v>
      </c>
      <c r="M29" s="3" t="s">
        <v>46</v>
      </c>
      <c r="S29" s="3">
        <f t="shared" si="0"/>
        <v>28</v>
      </c>
    </row>
    <row r="30" spans="1:19" ht="30" customHeight="1" x14ac:dyDescent="0.2">
      <c r="A30" s="7" t="s">
        <v>97</v>
      </c>
      <c r="B30" s="5" t="s">
        <v>47</v>
      </c>
      <c r="C30" s="7" t="s">
        <v>110</v>
      </c>
      <c r="D30" s="7" t="s">
        <v>97</v>
      </c>
      <c r="E30" s="6" t="s">
        <v>18</v>
      </c>
      <c r="F30" s="7" t="s">
        <v>336</v>
      </c>
      <c r="G30" s="7" t="s">
        <v>147</v>
      </c>
      <c r="H30" s="7" t="s">
        <v>337</v>
      </c>
      <c r="I30" s="10" t="s">
        <v>42</v>
      </c>
      <c r="J30" s="3" t="s">
        <v>108</v>
      </c>
      <c r="K30" s="3" t="s">
        <v>109</v>
      </c>
      <c r="L30" s="11" t="s">
        <v>45</v>
      </c>
      <c r="S30" s="3">
        <f t="shared" si="0"/>
        <v>29</v>
      </c>
    </row>
    <row r="31" spans="1:19" ht="30" customHeight="1" x14ac:dyDescent="0.2">
      <c r="A31" s="7" t="s">
        <v>76</v>
      </c>
      <c r="B31" s="5" t="s">
        <v>47</v>
      </c>
      <c r="C31" s="7" t="s">
        <v>114</v>
      </c>
      <c r="D31" s="7" t="s">
        <v>76</v>
      </c>
      <c r="E31" s="6" t="s">
        <v>18</v>
      </c>
      <c r="F31" s="7" t="s">
        <v>336</v>
      </c>
      <c r="G31" s="7" t="s">
        <v>147</v>
      </c>
      <c r="H31" s="7" t="s">
        <v>337</v>
      </c>
      <c r="I31" s="10" t="s">
        <v>42</v>
      </c>
      <c r="J31" s="3" t="s">
        <v>112</v>
      </c>
      <c r="K31" s="3" t="s">
        <v>113</v>
      </c>
      <c r="L31" s="11" t="s">
        <v>45</v>
      </c>
      <c r="M31" s="3" t="s">
        <v>46</v>
      </c>
      <c r="S31" s="3">
        <f t="shared" si="0"/>
        <v>30</v>
      </c>
    </row>
    <row r="32" spans="1:19" ht="30" customHeight="1" x14ac:dyDescent="0.2">
      <c r="A32" s="7" t="s">
        <v>96</v>
      </c>
      <c r="B32" s="5" t="s">
        <v>47</v>
      </c>
      <c r="C32" s="7" t="s">
        <v>123</v>
      </c>
      <c r="D32" s="7" t="s">
        <v>96</v>
      </c>
      <c r="E32" s="6" t="s">
        <v>18</v>
      </c>
      <c r="F32" s="7" t="s">
        <v>336</v>
      </c>
      <c r="G32" s="7" t="s">
        <v>147</v>
      </c>
      <c r="H32" s="7" t="s">
        <v>337</v>
      </c>
      <c r="I32" s="10" t="s">
        <v>42</v>
      </c>
      <c r="J32" s="3" t="s">
        <v>121</v>
      </c>
      <c r="K32" s="3" t="s">
        <v>122</v>
      </c>
      <c r="L32" s="11" t="s">
        <v>45</v>
      </c>
      <c r="S32" s="3">
        <f t="shared" si="0"/>
        <v>31</v>
      </c>
    </row>
    <row r="33" spans="1:19" ht="30" customHeight="1" x14ac:dyDescent="0.2">
      <c r="A33" s="7" t="s">
        <v>100</v>
      </c>
      <c r="B33" s="5" t="s">
        <v>47</v>
      </c>
      <c r="C33" s="7" t="s">
        <v>126</v>
      </c>
      <c r="D33" s="7" t="s">
        <v>100</v>
      </c>
      <c r="E33" s="6" t="s">
        <v>18</v>
      </c>
      <c r="F33" s="7" t="s">
        <v>336</v>
      </c>
      <c r="G33" s="7" t="s">
        <v>147</v>
      </c>
      <c r="H33" s="7" t="s">
        <v>337</v>
      </c>
      <c r="I33" s="10" t="s">
        <v>42</v>
      </c>
      <c r="J33" s="3" t="s">
        <v>124</v>
      </c>
      <c r="K33" s="3" t="s">
        <v>125</v>
      </c>
      <c r="L33" s="11" t="s">
        <v>45</v>
      </c>
      <c r="S33" s="3">
        <f t="shared" si="0"/>
        <v>32</v>
      </c>
    </row>
    <row r="34" spans="1:19" ht="30" customHeight="1" x14ac:dyDescent="0.2">
      <c r="A34" s="7" t="s">
        <v>77</v>
      </c>
      <c r="B34" s="5" t="s">
        <v>47</v>
      </c>
      <c r="C34" s="7" t="s">
        <v>129</v>
      </c>
      <c r="D34" s="7" t="s">
        <v>77</v>
      </c>
      <c r="E34" s="6" t="s">
        <v>18</v>
      </c>
      <c r="F34" s="7" t="s">
        <v>336</v>
      </c>
      <c r="G34" s="7" t="s">
        <v>147</v>
      </c>
      <c r="H34" s="7" t="s">
        <v>337</v>
      </c>
      <c r="I34" s="10" t="s">
        <v>42</v>
      </c>
      <c r="J34" s="3" t="s">
        <v>127</v>
      </c>
      <c r="K34" s="3" t="s">
        <v>128</v>
      </c>
      <c r="L34" s="11" t="s">
        <v>45</v>
      </c>
      <c r="M34" s="3" t="s">
        <v>46</v>
      </c>
      <c r="S34" s="3">
        <f t="shared" si="0"/>
        <v>33</v>
      </c>
    </row>
    <row r="35" spans="1:19" ht="30" customHeight="1" x14ac:dyDescent="0.2">
      <c r="A35" s="7" t="s">
        <v>98</v>
      </c>
      <c r="B35" s="5" t="s">
        <v>47</v>
      </c>
      <c r="C35" s="7" t="s">
        <v>132</v>
      </c>
      <c r="D35" s="7" t="s">
        <v>98</v>
      </c>
      <c r="E35" s="6" t="s">
        <v>18</v>
      </c>
      <c r="F35" s="7" t="s">
        <v>336</v>
      </c>
      <c r="G35" s="7" t="s">
        <v>147</v>
      </c>
      <c r="H35" s="7" t="s">
        <v>337</v>
      </c>
      <c r="I35" s="10" t="s">
        <v>42</v>
      </c>
      <c r="J35" s="3" t="s">
        <v>130</v>
      </c>
      <c r="K35" s="3" t="s">
        <v>131</v>
      </c>
      <c r="L35" s="11" t="s">
        <v>45</v>
      </c>
      <c r="S35" s="3">
        <f t="shared" si="0"/>
        <v>34</v>
      </c>
    </row>
    <row r="36" spans="1:19" ht="30" customHeight="1" x14ac:dyDescent="0.2">
      <c r="A36" s="7" t="s">
        <v>99</v>
      </c>
      <c r="B36" s="5" t="s">
        <v>47</v>
      </c>
      <c r="C36" s="7" t="s">
        <v>135</v>
      </c>
      <c r="D36" s="7" t="s">
        <v>99</v>
      </c>
      <c r="E36" s="6" t="s">
        <v>18</v>
      </c>
      <c r="F36" s="7" t="s">
        <v>336</v>
      </c>
      <c r="G36" s="7" t="s">
        <v>147</v>
      </c>
      <c r="H36" s="7" t="s">
        <v>337</v>
      </c>
      <c r="I36" s="10" t="s">
        <v>42</v>
      </c>
      <c r="J36" s="3" t="s">
        <v>133</v>
      </c>
      <c r="K36" s="3" t="s">
        <v>134</v>
      </c>
      <c r="L36" s="11" t="s">
        <v>45</v>
      </c>
      <c r="S36" s="3">
        <f t="shared" si="0"/>
        <v>35</v>
      </c>
    </row>
    <row r="37" spans="1:19" ht="30" customHeight="1" x14ac:dyDescent="0.2">
      <c r="A37" s="7" t="s">
        <v>34</v>
      </c>
      <c r="B37" s="5" t="s">
        <v>47</v>
      </c>
      <c r="C37" s="7" t="s">
        <v>349</v>
      </c>
      <c r="D37" s="7" t="s">
        <v>34</v>
      </c>
      <c r="E37" s="6" t="s">
        <v>18</v>
      </c>
      <c r="F37" s="7" t="s">
        <v>336</v>
      </c>
      <c r="G37" s="7" t="s">
        <v>154</v>
      </c>
      <c r="H37" s="7" t="s">
        <v>337</v>
      </c>
      <c r="I37" s="10" t="s">
        <v>42</v>
      </c>
      <c r="J37" s="3" t="s">
        <v>350</v>
      </c>
      <c r="K37" s="3" t="s">
        <v>351</v>
      </c>
      <c r="L37" s="11" t="s">
        <v>45</v>
      </c>
      <c r="M37" s="3" t="s">
        <v>340</v>
      </c>
      <c r="S37" s="3">
        <f t="shared" si="0"/>
        <v>36</v>
      </c>
    </row>
    <row r="38" spans="1:19" ht="30" customHeight="1" x14ac:dyDescent="0.2">
      <c r="A38" s="7" t="s">
        <v>34</v>
      </c>
      <c r="B38" s="5" t="s">
        <v>47</v>
      </c>
      <c r="C38" s="7" t="s">
        <v>352</v>
      </c>
      <c r="D38" s="7" t="s">
        <v>32</v>
      </c>
      <c r="E38" s="6" t="s">
        <v>18</v>
      </c>
      <c r="F38" s="7" t="s">
        <v>336</v>
      </c>
      <c r="G38" s="7" t="s">
        <v>154</v>
      </c>
      <c r="H38" s="7" t="s">
        <v>337</v>
      </c>
      <c r="I38" s="10" t="s">
        <v>42</v>
      </c>
      <c r="J38" s="3" t="s">
        <v>353</v>
      </c>
      <c r="K38" s="3" t="s">
        <v>354</v>
      </c>
      <c r="L38" s="3" t="s">
        <v>51</v>
      </c>
      <c r="M38" s="3" t="s">
        <v>340</v>
      </c>
      <c r="S38" s="3">
        <f t="shared" si="0"/>
        <v>37</v>
      </c>
    </row>
    <row r="39" spans="1:19" ht="30" customHeight="1" x14ac:dyDescent="0.2">
      <c r="A39" s="7" t="s">
        <v>36</v>
      </c>
      <c r="B39" s="5" t="s">
        <v>47</v>
      </c>
      <c r="C39" s="7" t="s">
        <v>362</v>
      </c>
      <c r="D39" s="7" t="s">
        <v>36</v>
      </c>
      <c r="E39" s="6" t="s">
        <v>18</v>
      </c>
      <c r="F39" s="7" t="s">
        <v>336</v>
      </c>
      <c r="G39" s="7" t="s">
        <v>154</v>
      </c>
      <c r="H39" s="7" t="s">
        <v>337</v>
      </c>
      <c r="I39" s="10" t="s">
        <v>42</v>
      </c>
      <c r="J39" s="3" t="s">
        <v>363</v>
      </c>
      <c r="K39" s="3" t="s">
        <v>364</v>
      </c>
      <c r="L39" s="11" t="s">
        <v>45</v>
      </c>
      <c r="M39" s="3" t="s">
        <v>340</v>
      </c>
      <c r="S39" s="3">
        <f t="shared" si="0"/>
        <v>38</v>
      </c>
    </row>
    <row r="40" spans="1:19" ht="30" customHeight="1" x14ac:dyDescent="0.2">
      <c r="A40" s="7" t="s">
        <v>36</v>
      </c>
      <c r="B40" s="5" t="s">
        <v>47</v>
      </c>
      <c r="C40" s="7" t="s">
        <v>365</v>
      </c>
      <c r="D40" s="7" t="s">
        <v>36</v>
      </c>
      <c r="E40" s="6" t="s">
        <v>18</v>
      </c>
      <c r="F40" s="7" t="s">
        <v>336</v>
      </c>
      <c r="G40" s="7" t="s">
        <v>154</v>
      </c>
      <c r="H40" s="7" t="s">
        <v>337</v>
      </c>
      <c r="I40" s="10" t="s">
        <v>139</v>
      </c>
      <c r="J40" s="3" t="s">
        <v>366</v>
      </c>
      <c r="K40" s="3" t="s">
        <v>367</v>
      </c>
      <c r="L40" s="3" t="s">
        <v>51</v>
      </c>
      <c r="M40" s="3" t="s">
        <v>340</v>
      </c>
      <c r="S40" s="3">
        <f t="shared" si="0"/>
        <v>39</v>
      </c>
    </row>
    <row r="41" spans="1:19" ht="30" customHeight="1" x14ac:dyDescent="0.2">
      <c r="A41" s="7" t="s">
        <v>38</v>
      </c>
      <c r="B41" s="5" t="s">
        <v>47</v>
      </c>
      <c r="C41" s="7" t="s">
        <v>357</v>
      </c>
      <c r="D41" s="7" t="s">
        <v>38</v>
      </c>
      <c r="E41" s="6" t="s">
        <v>18</v>
      </c>
      <c r="F41" s="7" t="s">
        <v>336</v>
      </c>
      <c r="G41" s="7" t="s">
        <v>154</v>
      </c>
      <c r="H41" s="7" t="s">
        <v>337</v>
      </c>
      <c r="I41" s="10" t="s">
        <v>139</v>
      </c>
      <c r="J41" s="3" t="s">
        <v>355</v>
      </c>
      <c r="K41" s="3" t="s">
        <v>356</v>
      </c>
      <c r="L41" s="11" t="s">
        <v>45</v>
      </c>
      <c r="M41" s="3" t="s">
        <v>340</v>
      </c>
      <c r="S41" s="3">
        <f t="shared" si="0"/>
        <v>40</v>
      </c>
    </row>
    <row r="42" spans="1:19" ht="30" customHeight="1" x14ac:dyDescent="0.2">
      <c r="A42" s="7" t="s">
        <v>38</v>
      </c>
      <c r="B42" s="5" t="s">
        <v>47</v>
      </c>
      <c r="C42" s="7" t="s">
        <v>358</v>
      </c>
      <c r="D42" s="7" t="s">
        <v>38</v>
      </c>
      <c r="E42" s="6" t="s">
        <v>18</v>
      </c>
      <c r="F42" s="7" t="s">
        <v>336</v>
      </c>
      <c r="G42" s="7" t="s">
        <v>154</v>
      </c>
      <c r="H42" s="7" t="s">
        <v>337</v>
      </c>
      <c r="I42" s="10" t="s">
        <v>42</v>
      </c>
      <c r="J42" s="3" t="s">
        <v>369</v>
      </c>
      <c r="K42" s="3" t="s">
        <v>368</v>
      </c>
      <c r="L42" s="3" t="s">
        <v>51</v>
      </c>
      <c r="M42" s="3" t="s">
        <v>340</v>
      </c>
      <c r="S42" s="3">
        <f t="shared" si="0"/>
        <v>41</v>
      </c>
    </row>
    <row r="43" spans="1:19" ht="30" customHeight="1" x14ac:dyDescent="0.2">
      <c r="A43" s="7" t="s">
        <v>38</v>
      </c>
      <c r="B43" s="5" t="s">
        <v>47</v>
      </c>
      <c r="C43" s="7" t="s">
        <v>358</v>
      </c>
      <c r="D43" s="7" t="s">
        <v>38</v>
      </c>
      <c r="E43" s="6" t="s">
        <v>18</v>
      </c>
      <c r="F43" s="7" t="s">
        <v>336</v>
      </c>
      <c r="G43" s="7" t="s">
        <v>154</v>
      </c>
      <c r="H43" s="7" t="s">
        <v>337</v>
      </c>
      <c r="I43" s="10" t="s">
        <v>139</v>
      </c>
      <c r="J43" s="3" t="s">
        <v>360</v>
      </c>
      <c r="K43" s="3" t="s">
        <v>361</v>
      </c>
      <c r="L43" s="11" t="s">
        <v>359</v>
      </c>
      <c r="M43" s="3" t="s">
        <v>340</v>
      </c>
      <c r="S43" s="3">
        <f t="shared" si="0"/>
        <v>42</v>
      </c>
    </row>
    <row r="44" spans="1:19" ht="30" customHeight="1" x14ac:dyDescent="0.2">
      <c r="A44" s="7" t="s">
        <v>38</v>
      </c>
      <c r="B44" s="5" t="s">
        <v>47</v>
      </c>
      <c r="C44" s="7" t="s">
        <v>358</v>
      </c>
      <c r="D44" s="7" t="s">
        <v>38</v>
      </c>
      <c r="E44" s="6" t="s">
        <v>18</v>
      </c>
      <c r="F44" s="7" t="s">
        <v>336</v>
      </c>
      <c r="G44" s="7" t="s">
        <v>154</v>
      </c>
      <c r="H44" s="7" t="s">
        <v>337</v>
      </c>
      <c r="I44" s="10" t="s">
        <v>42</v>
      </c>
      <c r="J44" s="3" t="s">
        <v>380</v>
      </c>
      <c r="K44" s="3" t="s">
        <v>381</v>
      </c>
      <c r="L44" s="11" t="s">
        <v>45</v>
      </c>
      <c r="M44" s="3" t="s">
        <v>340</v>
      </c>
      <c r="S44" s="3">
        <f t="shared" si="0"/>
        <v>43</v>
      </c>
    </row>
    <row r="45" spans="1:19" ht="30" customHeight="1" x14ac:dyDescent="0.2">
      <c r="A45" s="7" t="s">
        <v>94</v>
      </c>
      <c r="B45" s="5" t="s">
        <v>47</v>
      </c>
      <c r="C45" s="7" t="s">
        <v>382</v>
      </c>
      <c r="D45" s="7" t="s">
        <v>94</v>
      </c>
      <c r="E45" s="6" t="s">
        <v>18</v>
      </c>
      <c r="F45" s="7" t="s">
        <v>336</v>
      </c>
      <c r="G45" s="7" t="s">
        <v>154</v>
      </c>
      <c r="H45" s="7" t="s">
        <v>337</v>
      </c>
      <c r="I45" s="10" t="s">
        <v>42</v>
      </c>
      <c r="J45" s="3" t="s">
        <v>380</v>
      </c>
      <c r="K45" s="3" t="s">
        <v>381</v>
      </c>
      <c r="L45" s="11" t="s">
        <v>45</v>
      </c>
      <c r="M45" s="3" t="s">
        <v>340</v>
      </c>
      <c r="S45" s="3">
        <f t="shared" si="0"/>
        <v>44</v>
      </c>
    </row>
    <row r="46" spans="1:19" ht="30" customHeight="1" x14ac:dyDescent="0.2">
      <c r="A46" s="7" t="s">
        <v>94</v>
      </c>
      <c r="B46" s="5" t="s">
        <v>47</v>
      </c>
      <c r="C46" s="7" t="s">
        <v>378</v>
      </c>
      <c r="D46" s="7" t="s">
        <v>94</v>
      </c>
      <c r="E46" s="6" t="s">
        <v>18</v>
      </c>
      <c r="F46" s="7" t="s">
        <v>336</v>
      </c>
      <c r="G46" s="7" t="s">
        <v>154</v>
      </c>
      <c r="H46" s="7" t="s">
        <v>337</v>
      </c>
      <c r="I46" s="10" t="s">
        <v>139</v>
      </c>
      <c r="J46" s="3" t="s">
        <v>377</v>
      </c>
      <c r="K46" s="3" t="s">
        <v>379</v>
      </c>
      <c r="L46" s="11" t="s">
        <v>359</v>
      </c>
      <c r="M46" s="3" t="s">
        <v>340</v>
      </c>
      <c r="S46" s="3">
        <f t="shared" si="0"/>
        <v>45</v>
      </c>
    </row>
    <row r="47" spans="1:19" ht="30" customHeight="1" x14ac:dyDescent="0.2">
      <c r="A47" s="7" t="s">
        <v>39</v>
      </c>
      <c r="B47" s="5" t="s">
        <v>47</v>
      </c>
      <c r="C47" s="7" t="s">
        <v>388</v>
      </c>
      <c r="D47" s="7" t="s">
        <v>39</v>
      </c>
      <c r="E47" s="6" t="s">
        <v>18</v>
      </c>
      <c r="F47" s="7" t="s">
        <v>336</v>
      </c>
      <c r="G47" s="7" t="s">
        <v>154</v>
      </c>
      <c r="H47" s="7" t="s">
        <v>337</v>
      </c>
      <c r="I47" s="10" t="s">
        <v>42</v>
      </c>
      <c r="J47" s="3" t="s">
        <v>389</v>
      </c>
      <c r="K47" s="3" t="s">
        <v>390</v>
      </c>
      <c r="L47" s="3" t="s">
        <v>348</v>
      </c>
      <c r="M47" s="3" t="s">
        <v>340</v>
      </c>
      <c r="S47" s="3">
        <f t="shared" si="0"/>
        <v>46</v>
      </c>
    </row>
    <row r="48" spans="1:19" ht="30" customHeight="1" x14ac:dyDescent="0.2">
      <c r="A48" s="7" t="s">
        <v>39</v>
      </c>
      <c r="B48" s="5" t="s">
        <v>47</v>
      </c>
      <c r="C48" s="7" t="s">
        <v>384</v>
      </c>
      <c r="D48" s="7" t="s">
        <v>39</v>
      </c>
      <c r="E48" s="6" t="s">
        <v>18</v>
      </c>
      <c r="F48" s="7" t="s">
        <v>336</v>
      </c>
      <c r="G48" s="7" t="s">
        <v>154</v>
      </c>
      <c r="H48" s="7" t="s">
        <v>337</v>
      </c>
      <c r="I48" s="10" t="s">
        <v>42</v>
      </c>
      <c r="J48" s="3" t="s">
        <v>386</v>
      </c>
      <c r="K48" s="3" t="s">
        <v>387</v>
      </c>
      <c r="L48" s="11" t="s">
        <v>45</v>
      </c>
      <c r="M48" s="3" t="s">
        <v>340</v>
      </c>
      <c r="S48" s="3">
        <f t="shared" si="0"/>
        <v>47</v>
      </c>
    </row>
    <row r="49" spans="1:19" ht="30" customHeight="1" x14ac:dyDescent="0.2">
      <c r="A49" s="7" t="s">
        <v>39</v>
      </c>
      <c r="B49" s="5" t="s">
        <v>47</v>
      </c>
      <c r="C49" s="7" t="s">
        <v>391</v>
      </c>
      <c r="D49" s="7" t="s">
        <v>39</v>
      </c>
      <c r="E49" s="6" t="s">
        <v>18</v>
      </c>
      <c r="F49" s="7" t="s">
        <v>336</v>
      </c>
      <c r="G49" s="7" t="s">
        <v>154</v>
      </c>
      <c r="H49" s="7" t="s">
        <v>337</v>
      </c>
      <c r="I49" s="10" t="s">
        <v>42</v>
      </c>
      <c r="J49" s="3" t="s">
        <v>394</v>
      </c>
      <c r="K49" s="3" t="s">
        <v>395</v>
      </c>
      <c r="L49" s="11" t="s">
        <v>359</v>
      </c>
      <c r="M49" s="3" t="s">
        <v>340</v>
      </c>
      <c r="S49" s="3">
        <f t="shared" si="0"/>
        <v>48</v>
      </c>
    </row>
    <row r="50" spans="1:19" ht="30" customHeight="1" x14ac:dyDescent="0.2">
      <c r="A50" s="7" t="s">
        <v>39</v>
      </c>
      <c r="B50" s="5" t="s">
        <v>47</v>
      </c>
      <c r="C50" s="7" t="s">
        <v>384</v>
      </c>
      <c r="D50" s="7" t="s">
        <v>39</v>
      </c>
      <c r="E50" s="6" t="s">
        <v>18</v>
      </c>
      <c r="F50" s="7" t="s">
        <v>336</v>
      </c>
      <c r="G50" s="7" t="s">
        <v>154</v>
      </c>
      <c r="H50" s="7" t="s">
        <v>337</v>
      </c>
      <c r="I50" s="10" t="s">
        <v>139</v>
      </c>
      <c r="J50" s="3" t="s">
        <v>383</v>
      </c>
      <c r="K50" s="3" t="s">
        <v>385</v>
      </c>
      <c r="L50" s="11" t="s">
        <v>45</v>
      </c>
      <c r="M50" s="3" t="s">
        <v>340</v>
      </c>
      <c r="S50" s="3">
        <f t="shared" si="0"/>
        <v>49</v>
      </c>
    </row>
    <row r="51" spans="1:19" ht="30" customHeight="1" x14ac:dyDescent="0.2">
      <c r="A51" s="7" t="s">
        <v>39</v>
      </c>
      <c r="B51" s="5" t="s">
        <v>47</v>
      </c>
      <c r="C51" s="7" t="s">
        <v>391</v>
      </c>
      <c r="D51" s="7" t="s">
        <v>39</v>
      </c>
      <c r="E51" s="6" t="s">
        <v>18</v>
      </c>
      <c r="F51" s="7" t="s">
        <v>336</v>
      </c>
      <c r="G51" s="7" t="s">
        <v>154</v>
      </c>
      <c r="H51" s="7" t="s">
        <v>337</v>
      </c>
      <c r="I51" s="10" t="s">
        <v>139</v>
      </c>
      <c r="J51" s="3" t="s">
        <v>392</v>
      </c>
      <c r="K51" s="3" t="s">
        <v>393</v>
      </c>
      <c r="L51" s="11" t="s">
        <v>359</v>
      </c>
      <c r="M51" s="3" t="s">
        <v>340</v>
      </c>
      <c r="S51" s="3">
        <f t="shared" si="0"/>
        <v>50</v>
      </c>
    </row>
    <row r="52" spans="1:19" ht="30" customHeight="1" x14ac:dyDescent="0.2">
      <c r="A52" s="7" t="s">
        <v>370</v>
      </c>
      <c r="B52" s="5" t="s">
        <v>47</v>
      </c>
      <c r="C52" s="7" t="s">
        <v>371</v>
      </c>
      <c r="D52" s="7" t="s">
        <v>370</v>
      </c>
      <c r="E52" s="6" t="s">
        <v>18</v>
      </c>
      <c r="F52" s="7" t="s">
        <v>336</v>
      </c>
      <c r="G52" s="7" t="s">
        <v>154</v>
      </c>
      <c r="H52" s="7" t="s">
        <v>337</v>
      </c>
      <c r="I52" s="10" t="s">
        <v>42</v>
      </c>
      <c r="J52" s="3" t="s">
        <v>372</v>
      </c>
      <c r="K52" s="3" t="s">
        <v>373</v>
      </c>
      <c r="L52" s="11" t="s">
        <v>45</v>
      </c>
      <c r="M52" s="3" t="s">
        <v>340</v>
      </c>
      <c r="S52" s="3">
        <f t="shared" si="0"/>
        <v>51</v>
      </c>
    </row>
    <row r="53" spans="1:19" ht="30" customHeight="1" x14ac:dyDescent="0.2">
      <c r="A53" s="7" t="s">
        <v>370</v>
      </c>
      <c r="B53" s="5" t="s">
        <v>47</v>
      </c>
      <c r="C53" s="7" t="s">
        <v>374</v>
      </c>
      <c r="D53" s="7" t="s">
        <v>370</v>
      </c>
      <c r="E53" s="6" t="s">
        <v>18</v>
      </c>
      <c r="F53" s="7" t="s">
        <v>336</v>
      </c>
      <c r="G53" s="7" t="s">
        <v>154</v>
      </c>
      <c r="H53" s="7" t="s">
        <v>337</v>
      </c>
      <c r="I53" s="10" t="s">
        <v>139</v>
      </c>
      <c r="J53" s="3" t="s">
        <v>375</v>
      </c>
      <c r="K53" s="3" t="s">
        <v>376</v>
      </c>
      <c r="L53" s="11" t="s">
        <v>359</v>
      </c>
      <c r="M53" s="3" t="s">
        <v>340</v>
      </c>
      <c r="S53" s="3">
        <f t="shared" si="0"/>
        <v>52</v>
      </c>
    </row>
    <row r="54" spans="1:19" ht="30" customHeight="1" x14ac:dyDescent="0.2">
      <c r="A54" s="7" t="s">
        <v>32</v>
      </c>
      <c r="B54" s="5" t="s">
        <v>47</v>
      </c>
      <c r="C54" s="7" t="s">
        <v>343</v>
      </c>
      <c r="D54" s="7" t="s">
        <v>32</v>
      </c>
      <c r="E54" s="6" t="s">
        <v>18</v>
      </c>
      <c r="F54" s="7" t="s">
        <v>336</v>
      </c>
      <c r="G54" s="7" t="s">
        <v>154</v>
      </c>
      <c r="H54" s="7" t="s">
        <v>337</v>
      </c>
      <c r="I54" s="10" t="s">
        <v>139</v>
      </c>
      <c r="J54" s="3" t="s">
        <v>338</v>
      </c>
      <c r="K54" s="3" t="s">
        <v>339</v>
      </c>
      <c r="L54" s="3" t="s">
        <v>51</v>
      </c>
      <c r="M54" s="3" t="s">
        <v>340</v>
      </c>
      <c r="S54" s="3">
        <f t="shared" si="0"/>
        <v>53</v>
      </c>
    </row>
    <row r="55" spans="1:19" ht="30" customHeight="1" x14ac:dyDescent="0.2">
      <c r="A55" s="7" t="s">
        <v>32</v>
      </c>
      <c r="B55" s="5" t="s">
        <v>47</v>
      </c>
      <c r="C55" s="7" t="s">
        <v>344</v>
      </c>
      <c r="D55" s="7" t="s">
        <v>32</v>
      </c>
      <c r="E55" s="6" t="s">
        <v>18</v>
      </c>
      <c r="F55" s="7" t="s">
        <v>336</v>
      </c>
      <c r="G55" s="7" t="s">
        <v>154</v>
      </c>
      <c r="H55" s="7" t="s">
        <v>337</v>
      </c>
      <c r="I55" s="10" t="s">
        <v>42</v>
      </c>
      <c r="J55" s="3" t="s">
        <v>341</v>
      </c>
      <c r="K55" s="3" t="s">
        <v>342</v>
      </c>
      <c r="L55" s="11" t="s">
        <v>45</v>
      </c>
      <c r="M55" s="3" t="s">
        <v>340</v>
      </c>
      <c r="S55" s="3">
        <f t="shared" si="0"/>
        <v>54</v>
      </c>
    </row>
    <row r="56" spans="1:19" ht="30" customHeight="1" x14ac:dyDescent="0.2">
      <c r="A56" s="7" t="s">
        <v>32</v>
      </c>
      <c r="B56" s="5" t="s">
        <v>47</v>
      </c>
      <c r="C56" s="8" t="s">
        <v>345</v>
      </c>
      <c r="D56" s="7" t="s">
        <v>32</v>
      </c>
      <c r="E56" s="6" t="s">
        <v>18</v>
      </c>
      <c r="F56" s="7" t="s">
        <v>336</v>
      </c>
      <c r="G56" s="7" t="s">
        <v>154</v>
      </c>
      <c r="H56" s="7" t="s">
        <v>337</v>
      </c>
      <c r="I56" s="10" t="s">
        <v>42</v>
      </c>
      <c r="J56" s="3" t="s">
        <v>346</v>
      </c>
      <c r="K56" s="3" t="s">
        <v>347</v>
      </c>
      <c r="L56" s="3" t="s">
        <v>348</v>
      </c>
      <c r="M56" s="3" t="s">
        <v>340</v>
      </c>
      <c r="S56" s="3">
        <f t="shared" si="0"/>
        <v>55</v>
      </c>
    </row>
    <row r="57" spans="1:19" ht="30" customHeight="1" x14ac:dyDescent="0.2">
      <c r="A57" s="23" t="s">
        <v>72</v>
      </c>
      <c r="B57" s="5" t="s">
        <v>47</v>
      </c>
      <c r="C57" s="8" t="s">
        <v>490</v>
      </c>
      <c r="D57" s="23" t="s">
        <v>72</v>
      </c>
      <c r="E57" s="6" t="s">
        <v>18</v>
      </c>
      <c r="F57" s="7" t="s">
        <v>336</v>
      </c>
      <c r="G57" s="7" t="s">
        <v>154</v>
      </c>
      <c r="H57" s="7" t="s">
        <v>337</v>
      </c>
      <c r="I57" s="10" t="s">
        <v>139</v>
      </c>
      <c r="J57" s="3" t="s">
        <v>491</v>
      </c>
      <c r="K57" s="3" t="s">
        <v>492</v>
      </c>
      <c r="L57" s="11" t="s">
        <v>45</v>
      </c>
      <c r="M57" s="3" t="s">
        <v>340</v>
      </c>
      <c r="S57" s="3">
        <f t="shared" si="0"/>
        <v>56</v>
      </c>
    </row>
    <row r="58" spans="1:19" ht="30" customHeight="1" x14ac:dyDescent="0.2">
      <c r="A58" s="23" t="s">
        <v>72</v>
      </c>
      <c r="B58" s="5" t="s">
        <v>47</v>
      </c>
      <c r="C58" s="8" t="s">
        <v>496</v>
      </c>
      <c r="D58" s="23" t="s">
        <v>72</v>
      </c>
      <c r="E58" s="6" t="s">
        <v>18</v>
      </c>
      <c r="F58" s="7" t="s">
        <v>336</v>
      </c>
      <c r="G58" s="7" t="s">
        <v>154</v>
      </c>
      <c r="H58" s="7" t="s">
        <v>337</v>
      </c>
      <c r="I58" s="10" t="s">
        <v>139</v>
      </c>
      <c r="J58" s="3" t="s">
        <v>497</v>
      </c>
      <c r="K58" s="3" t="s">
        <v>498</v>
      </c>
      <c r="L58" s="3" t="s">
        <v>51</v>
      </c>
      <c r="M58" s="3" t="s">
        <v>340</v>
      </c>
      <c r="S58" s="3">
        <f t="shared" si="0"/>
        <v>57</v>
      </c>
    </row>
    <row r="59" spans="1:19" ht="30" customHeight="1" x14ac:dyDescent="0.2">
      <c r="A59" s="23" t="s">
        <v>72</v>
      </c>
      <c r="B59" s="5" t="s">
        <v>47</v>
      </c>
      <c r="C59" s="8" t="s">
        <v>493</v>
      </c>
      <c r="D59" s="23" t="s">
        <v>72</v>
      </c>
      <c r="E59" s="6" t="s">
        <v>18</v>
      </c>
      <c r="F59" s="7" t="s">
        <v>336</v>
      </c>
      <c r="G59" s="7" t="s">
        <v>154</v>
      </c>
      <c r="H59" s="7" t="s">
        <v>337</v>
      </c>
      <c r="I59" s="10" t="s">
        <v>42</v>
      </c>
      <c r="J59" s="3" t="s">
        <v>494</v>
      </c>
      <c r="K59" s="3" t="s">
        <v>495</v>
      </c>
      <c r="L59" s="3" t="s">
        <v>348</v>
      </c>
      <c r="M59" s="3" t="s">
        <v>340</v>
      </c>
      <c r="S59" s="3">
        <f t="shared" si="0"/>
        <v>58</v>
      </c>
    </row>
    <row r="60" spans="1:19" ht="30" customHeight="1" x14ac:dyDescent="0.2">
      <c r="A60" s="23" t="s">
        <v>72</v>
      </c>
      <c r="B60" s="5" t="s">
        <v>47</v>
      </c>
      <c r="C60" s="8" t="s">
        <v>490</v>
      </c>
      <c r="D60" s="23" t="s">
        <v>72</v>
      </c>
      <c r="E60" s="6" t="s">
        <v>18</v>
      </c>
      <c r="F60" s="7" t="s">
        <v>336</v>
      </c>
      <c r="G60" s="7" t="s">
        <v>154</v>
      </c>
      <c r="H60" s="7" t="s">
        <v>337</v>
      </c>
      <c r="I60" s="10" t="s">
        <v>42</v>
      </c>
      <c r="J60" s="3" t="s">
        <v>499</v>
      </c>
      <c r="K60" s="3" t="s">
        <v>500</v>
      </c>
      <c r="L60" s="11" t="s">
        <v>45</v>
      </c>
      <c r="M60" s="3" t="s">
        <v>340</v>
      </c>
      <c r="S60" s="3">
        <f t="shared" si="0"/>
        <v>59</v>
      </c>
    </row>
    <row r="61" spans="1:19" ht="30" customHeight="1" x14ac:dyDescent="0.2">
      <c r="A61" s="3" t="s">
        <v>466</v>
      </c>
      <c r="B61" s="5" t="s">
        <v>47</v>
      </c>
      <c r="C61" s="3" t="s">
        <v>467</v>
      </c>
      <c r="D61" s="3" t="s">
        <v>466</v>
      </c>
      <c r="E61" s="6" t="s">
        <v>18</v>
      </c>
      <c r="F61" s="7" t="s">
        <v>336</v>
      </c>
      <c r="G61" s="7" t="s">
        <v>154</v>
      </c>
      <c r="H61" s="7" t="s">
        <v>337</v>
      </c>
      <c r="I61" s="10" t="s">
        <v>468</v>
      </c>
      <c r="J61" s="3" t="s">
        <v>469</v>
      </c>
      <c r="K61" s="3" t="s">
        <v>470</v>
      </c>
      <c r="L61" s="3" t="s">
        <v>348</v>
      </c>
      <c r="M61" s="3" t="s">
        <v>340</v>
      </c>
      <c r="S61" s="3">
        <f t="shared" si="0"/>
        <v>60</v>
      </c>
    </row>
    <row r="62" spans="1:19" ht="30" customHeight="1" x14ac:dyDescent="0.2">
      <c r="A62" s="3" t="s">
        <v>41</v>
      </c>
      <c r="B62" s="5" t="s">
        <v>47</v>
      </c>
      <c r="C62" s="3" t="s">
        <v>471</v>
      </c>
      <c r="D62" s="3" t="s">
        <v>41</v>
      </c>
      <c r="E62" s="6" t="s">
        <v>18</v>
      </c>
      <c r="F62" s="7" t="s">
        <v>336</v>
      </c>
      <c r="G62" s="7" t="s">
        <v>154</v>
      </c>
      <c r="H62" s="7" t="s">
        <v>337</v>
      </c>
      <c r="I62" s="10" t="s">
        <v>139</v>
      </c>
      <c r="J62" s="3" t="s">
        <v>472</v>
      </c>
      <c r="K62" s="3" t="s">
        <v>473</v>
      </c>
      <c r="L62" s="11" t="s">
        <v>45</v>
      </c>
      <c r="M62" s="3" t="s">
        <v>340</v>
      </c>
      <c r="S62" s="3">
        <f t="shared" si="0"/>
        <v>61</v>
      </c>
    </row>
    <row r="63" spans="1:19" ht="30" customHeight="1" x14ac:dyDescent="0.2">
      <c r="A63" s="3" t="s">
        <v>41</v>
      </c>
      <c r="B63" s="5" t="s">
        <v>47</v>
      </c>
      <c r="C63" s="3" t="s">
        <v>476</v>
      </c>
      <c r="D63" s="3" t="s">
        <v>41</v>
      </c>
      <c r="E63" s="6" t="s">
        <v>18</v>
      </c>
      <c r="F63" s="7" t="s">
        <v>336</v>
      </c>
      <c r="G63" s="7" t="s">
        <v>154</v>
      </c>
      <c r="H63" s="7" t="s">
        <v>337</v>
      </c>
      <c r="I63" s="10" t="s">
        <v>139</v>
      </c>
      <c r="J63" s="3" t="s">
        <v>477</v>
      </c>
      <c r="K63" s="3" t="s">
        <v>478</v>
      </c>
      <c r="L63" s="3" t="s">
        <v>51</v>
      </c>
      <c r="M63" s="3" t="s">
        <v>340</v>
      </c>
      <c r="S63" s="3">
        <f t="shared" si="0"/>
        <v>62</v>
      </c>
    </row>
    <row r="64" spans="1:19" ht="30" customHeight="1" x14ac:dyDescent="0.2">
      <c r="A64" s="3" t="s">
        <v>41</v>
      </c>
      <c r="B64" s="5" t="s">
        <v>47</v>
      </c>
      <c r="C64" s="3" t="s">
        <v>471</v>
      </c>
      <c r="D64" s="3" t="s">
        <v>41</v>
      </c>
      <c r="E64" s="6" t="s">
        <v>18</v>
      </c>
      <c r="F64" s="7" t="s">
        <v>336</v>
      </c>
      <c r="G64" s="7" t="s">
        <v>154</v>
      </c>
      <c r="H64" s="7" t="s">
        <v>337</v>
      </c>
      <c r="I64" s="10" t="s">
        <v>468</v>
      </c>
      <c r="J64" s="3" t="s">
        <v>474</v>
      </c>
      <c r="K64" s="3" t="s">
        <v>475</v>
      </c>
      <c r="L64" s="11" t="s">
        <v>45</v>
      </c>
      <c r="M64" s="3" t="s">
        <v>340</v>
      </c>
      <c r="S64" s="3">
        <f t="shared" si="0"/>
        <v>63</v>
      </c>
    </row>
    <row r="65" spans="1:19" ht="30" customHeight="1" x14ac:dyDescent="0.2">
      <c r="A65" s="3" t="s">
        <v>41</v>
      </c>
      <c r="B65" s="5" t="s">
        <v>47</v>
      </c>
      <c r="C65" s="3" t="s">
        <v>476</v>
      </c>
      <c r="D65" s="3" t="s">
        <v>41</v>
      </c>
      <c r="E65" s="6" t="s">
        <v>18</v>
      </c>
      <c r="F65" s="7" t="s">
        <v>336</v>
      </c>
      <c r="G65" s="7" t="s">
        <v>154</v>
      </c>
      <c r="H65" s="7" t="s">
        <v>337</v>
      </c>
      <c r="I65" s="10" t="s">
        <v>468</v>
      </c>
      <c r="J65" s="3" t="s">
        <v>479</v>
      </c>
      <c r="K65" s="3" t="s">
        <v>480</v>
      </c>
      <c r="L65" s="3" t="s">
        <v>51</v>
      </c>
      <c r="M65" s="3" t="s">
        <v>340</v>
      </c>
      <c r="S65" s="3">
        <f t="shared" si="0"/>
        <v>64</v>
      </c>
    </row>
    <row r="66" spans="1:19" ht="30" customHeight="1" x14ac:dyDescent="0.2">
      <c r="A66" s="3" t="s">
        <v>97</v>
      </c>
      <c r="B66" s="5" t="s">
        <v>507</v>
      </c>
      <c r="C66" s="3" t="s">
        <v>508</v>
      </c>
      <c r="D66" s="3" t="s">
        <v>97</v>
      </c>
      <c r="E66" s="6" t="s">
        <v>18</v>
      </c>
      <c r="F66" s="7" t="s">
        <v>336</v>
      </c>
      <c r="G66" s="7" t="s">
        <v>154</v>
      </c>
      <c r="H66" s="7" t="s">
        <v>337</v>
      </c>
      <c r="I66" s="10" t="s">
        <v>139</v>
      </c>
      <c r="J66" s="3" t="s">
        <v>509</v>
      </c>
      <c r="K66" s="3" t="s">
        <v>510</v>
      </c>
      <c r="L66" s="11" t="s">
        <v>45</v>
      </c>
      <c r="M66" s="3" t="s">
        <v>340</v>
      </c>
      <c r="S66" s="3">
        <f t="shared" si="0"/>
        <v>65</v>
      </c>
    </row>
    <row r="67" spans="1:19" ht="30" customHeight="1" x14ac:dyDescent="0.2">
      <c r="A67" s="3" t="s">
        <v>97</v>
      </c>
      <c r="B67" s="5" t="s">
        <v>507</v>
      </c>
      <c r="C67" s="3" t="s">
        <v>511</v>
      </c>
      <c r="D67" s="3" t="s">
        <v>97</v>
      </c>
      <c r="E67" s="6" t="s">
        <v>18</v>
      </c>
      <c r="F67" s="7" t="s">
        <v>336</v>
      </c>
      <c r="G67" s="7" t="s">
        <v>154</v>
      </c>
      <c r="H67" s="7" t="s">
        <v>337</v>
      </c>
      <c r="I67" s="10" t="s">
        <v>139</v>
      </c>
      <c r="J67" s="3" t="s">
        <v>512</v>
      </c>
      <c r="K67" s="3" t="s">
        <v>513</v>
      </c>
      <c r="L67" s="3" t="s">
        <v>51</v>
      </c>
      <c r="M67" s="3" t="s">
        <v>340</v>
      </c>
      <c r="S67" s="3">
        <f t="shared" ref="S67:S84" si="1">ROW()-1</f>
        <v>66</v>
      </c>
    </row>
    <row r="68" spans="1:19" ht="30" customHeight="1" x14ac:dyDescent="0.2">
      <c r="A68" s="3" t="s">
        <v>481</v>
      </c>
      <c r="B68" s="5" t="s">
        <v>47</v>
      </c>
      <c r="C68" s="3" t="s">
        <v>482</v>
      </c>
      <c r="D68" s="3" t="s">
        <v>481</v>
      </c>
      <c r="E68" s="6" t="s">
        <v>18</v>
      </c>
      <c r="F68" s="7" t="s">
        <v>336</v>
      </c>
      <c r="G68" s="7" t="s">
        <v>154</v>
      </c>
      <c r="H68" s="7" t="s">
        <v>337</v>
      </c>
      <c r="I68" s="10" t="s">
        <v>139</v>
      </c>
      <c r="J68" s="3" t="s">
        <v>483</v>
      </c>
      <c r="K68" s="3" t="s">
        <v>484</v>
      </c>
      <c r="L68" s="11" t="s">
        <v>45</v>
      </c>
      <c r="M68" s="3" t="s">
        <v>340</v>
      </c>
      <c r="S68" s="3">
        <f t="shared" si="1"/>
        <v>67</v>
      </c>
    </row>
    <row r="69" spans="1:19" ht="30" customHeight="1" x14ac:dyDescent="0.2">
      <c r="A69" s="3" t="s">
        <v>481</v>
      </c>
      <c r="B69" s="5" t="s">
        <v>47</v>
      </c>
      <c r="C69" s="3" t="s">
        <v>485</v>
      </c>
      <c r="D69" s="3" t="s">
        <v>481</v>
      </c>
      <c r="E69" s="6" t="s">
        <v>18</v>
      </c>
      <c r="F69" s="7" t="s">
        <v>336</v>
      </c>
      <c r="G69" s="7" t="s">
        <v>154</v>
      </c>
      <c r="H69" s="7" t="s">
        <v>337</v>
      </c>
      <c r="I69" s="10" t="s">
        <v>468</v>
      </c>
      <c r="J69" s="3" t="s">
        <v>486</v>
      </c>
      <c r="K69" s="3" t="s">
        <v>487</v>
      </c>
      <c r="L69" s="3" t="s">
        <v>348</v>
      </c>
      <c r="M69" s="3" t="s">
        <v>340</v>
      </c>
      <c r="S69" s="3">
        <f t="shared" si="1"/>
        <v>68</v>
      </c>
    </row>
    <row r="70" spans="1:19" ht="30" customHeight="1" x14ac:dyDescent="0.2">
      <c r="A70" s="3" t="s">
        <v>481</v>
      </c>
      <c r="B70" s="5" t="s">
        <v>47</v>
      </c>
      <c r="C70" s="3" t="s">
        <v>482</v>
      </c>
      <c r="D70" s="3" t="s">
        <v>481</v>
      </c>
      <c r="E70" s="6" t="s">
        <v>18</v>
      </c>
      <c r="F70" s="7" t="s">
        <v>336</v>
      </c>
      <c r="G70" s="7" t="s">
        <v>154</v>
      </c>
      <c r="H70" s="7" t="s">
        <v>337</v>
      </c>
      <c r="I70" s="10" t="s">
        <v>468</v>
      </c>
      <c r="J70" s="3" t="s">
        <v>488</v>
      </c>
      <c r="K70" s="3" t="s">
        <v>489</v>
      </c>
      <c r="L70" s="11" t="s">
        <v>45</v>
      </c>
      <c r="M70" s="3" t="s">
        <v>340</v>
      </c>
      <c r="S70" s="3">
        <f t="shared" si="1"/>
        <v>69</v>
      </c>
    </row>
    <row r="71" spans="1:19" ht="30" customHeight="1" x14ac:dyDescent="0.2">
      <c r="A71" s="3" t="s">
        <v>76</v>
      </c>
      <c r="B71" s="5" t="s">
        <v>47</v>
      </c>
      <c r="C71" s="3" t="s">
        <v>514</v>
      </c>
      <c r="D71" s="3" t="s">
        <v>76</v>
      </c>
      <c r="E71" s="6" t="s">
        <v>18</v>
      </c>
      <c r="F71" s="7" t="s">
        <v>336</v>
      </c>
      <c r="G71" s="7" t="s">
        <v>154</v>
      </c>
      <c r="H71" s="7" t="s">
        <v>337</v>
      </c>
      <c r="I71" s="10" t="s">
        <v>139</v>
      </c>
      <c r="J71" s="3" t="s">
        <v>515</v>
      </c>
      <c r="K71" s="3" t="s">
        <v>516</v>
      </c>
      <c r="L71" s="11" t="s">
        <v>45</v>
      </c>
      <c r="M71" s="3" t="s">
        <v>340</v>
      </c>
      <c r="S71" s="3">
        <f t="shared" si="1"/>
        <v>70</v>
      </c>
    </row>
    <row r="72" spans="1:19" ht="30" customHeight="1" x14ac:dyDescent="0.2">
      <c r="A72" s="3" t="s">
        <v>76</v>
      </c>
      <c r="B72" s="5" t="s">
        <v>47</v>
      </c>
      <c r="C72" s="3" t="s">
        <v>520</v>
      </c>
      <c r="D72" s="3" t="s">
        <v>76</v>
      </c>
      <c r="E72" s="6" t="s">
        <v>18</v>
      </c>
      <c r="F72" s="7" t="s">
        <v>336</v>
      </c>
      <c r="G72" s="7" t="s">
        <v>154</v>
      </c>
      <c r="H72" s="7" t="s">
        <v>337</v>
      </c>
      <c r="I72" s="10" t="s">
        <v>139</v>
      </c>
      <c r="J72" s="3" t="s">
        <v>521</v>
      </c>
      <c r="K72" s="3" t="s">
        <v>522</v>
      </c>
      <c r="L72" s="3" t="s">
        <v>51</v>
      </c>
      <c r="M72" s="3" t="s">
        <v>340</v>
      </c>
      <c r="S72" s="3">
        <f t="shared" si="1"/>
        <v>71</v>
      </c>
    </row>
    <row r="73" spans="1:19" ht="30" customHeight="1" x14ac:dyDescent="0.2">
      <c r="A73" s="3" t="s">
        <v>76</v>
      </c>
      <c r="B73" s="5" t="s">
        <v>47</v>
      </c>
      <c r="C73" s="3" t="s">
        <v>517</v>
      </c>
      <c r="D73" s="3" t="s">
        <v>76</v>
      </c>
      <c r="E73" s="6" t="s">
        <v>18</v>
      </c>
      <c r="F73" s="7" t="s">
        <v>336</v>
      </c>
      <c r="G73" s="7" t="s">
        <v>154</v>
      </c>
      <c r="H73" s="7" t="s">
        <v>337</v>
      </c>
      <c r="I73" s="10" t="s">
        <v>468</v>
      </c>
      <c r="J73" s="3" t="s">
        <v>518</v>
      </c>
      <c r="K73" s="3" t="s">
        <v>519</v>
      </c>
      <c r="L73" s="3" t="s">
        <v>348</v>
      </c>
      <c r="M73" s="3" t="s">
        <v>340</v>
      </c>
      <c r="S73" s="3">
        <f t="shared" si="1"/>
        <v>72</v>
      </c>
    </row>
    <row r="74" spans="1:19" ht="30" customHeight="1" x14ac:dyDescent="0.2">
      <c r="A74" s="3" t="s">
        <v>76</v>
      </c>
      <c r="B74" s="5" t="s">
        <v>47</v>
      </c>
      <c r="C74" s="3" t="s">
        <v>520</v>
      </c>
      <c r="D74" s="3" t="s">
        <v>76</v>
      </c>
      <c r="E74" s="6" t="s">
        <v>18</v>
      </c>
      <c r="F74" s="7" t="s">
        <v>336</v>
      </c>
      <c r="G74" s="7" t="s">
        <v>154</v>
      </c>
      <c r="H74" s="7" t="s">
        <v>337</v>
      </c>
      <c r="I74" s="10" t="s">
        <v>468</v>
      </c>
      <c r="J74" s="3" t="s">
        <v>523</v>
      </c>
      <c r="K74" s="3" t="s">
        <v>524</v>
      </c>
      <c r="L74" s="3" t="s">
        <v>51</v>
      </c>
      <c r="M74" s="3" t="s">
        <v>340</v>
      </c>
      <c r="S74" s="3">
        <f t="shared" si="1"/>
        <v>73</v>
      </c>
    </row>
    <row r="75" spans="1:19" ht="30" customHeight="1" x14ac:dyDescent="0.2">
      <c r="A75" s="3" t="s">
        <v>96</v>
      </c>
      <c r="B75" s="5" t="s">
        <v>47</v>
      </c>
      <c r="C75" s="3" t="s">
        <v>525</v>
      </c>
      <c r="D75" s="3" t="s">
        <v>96</v>
      </c>
      <c r="E75" s="6" t="s">
        <v>18</v>
      </c>
      <c r="F75" s="7" t="s">
        <v>336</v>
      </c>
      <c r="G75" s="7" t="s">
        <v>154</v>
      </c>
      <c r="H75" s="7" t="s">
        <v>337</v>
      </c>
      <c r="I75" s="10" t="s">
        <v>139</v>
      </c>
      <c r="J75" s="3" t="s">
        <v>526</v>
      </c>
      <c r="K75" s="3" t="s">
        <v>527</v>
      </c>
      <c r="L75" s="11" t="s">
        <v>45</v>
      </c>
      <c r="M75" s="3" t="s">
        <v>340</v>
      </c>
      <c r="S75" s="3">
        <f t="shared" si="1"/>
        <v>74</v>
      </c>
    </row>
    <row r="76" spans="1:19" ht="30" customHeight="1" x14ac:dyDescent="0.2">
      <c r="A76" s="3" t="s">
        <v>96</v>
      </c>
      <c r="B76" s="5" t="s">
        <v>47</v>
      </c>
      <c r="C76" s="3" t="s">
        <v>531</v>
      </c>
      <c r="D76" s="3" t="s">
        <v>96</v>
      </c>
      <c r="E76" s="6" t="s">
        <v>18</v>
      </c>
      <c r="F76" s="7" t="s">
        <v>336</v>
      </c>
      <c r="G76" s="7" t="s">
        <v>154</v>
      </c>
      <c r="H76" s="7" t="s">
        <v>337</v>
      </c>
      <c r="I76" s="10" t="s">
        <v>139</v>
      </c>
      <c r="J76" s="3" t="s">
        <v>532</v>
      </c>
      <c r="K76" s="3" t="s">
        <v>533</v>
      </c>
      <c r="L76" s="3" t="s">
        <v>51</v>
      </c>
      <c r="M76" s="3" t="s">
        <v>340</v>
      </c>
      <c r="S76" s="3">
        <f t="shared" si="1"/>
        <v>75</v>
      </c>
    </row>
    <row r="77" spans="1:19" ht="30" customHeight="1" x14ac:dyDescent="0.2">
      <c r="A77" s="3" t="s">
        <v>96</v>
      </c>
      <c r="B77" s="5" t="s">
        <v>47</v>
      </c>
      <c r="C77" s="3" t="s">
        <v>528</v>
      </c>
      <c r="D77" s="3" t="s">
        <v>96</v>
      </c>
      <c r="E77" s="6" t="s">
        <v>18</v>
      </c>
      <c r="F77" s="7" t="s">
        <v>336</v>
      </c>
      <c r="G77" s="7" t="s">
        <v>154</v>
      </c>
      <c r="H77" s="7" t="s">
        <v>337</v>
      </c>
      <c r="I77" s="10" t="s">
        <v>468</v>
      </c>
      <c r="J77" s="3" t="s">
        <v>529</v>
      </c>
      <c r="K77" s="3" t="s">
        <v>530</v>
      </c>
      <c r="L77" s="3" t="s">
        <v>348</v>
      </c>
      <c r="M77" s="3" t="s">
        <v>340</v>
      </c>
      <c r="S77" s="3">
        <f t="shared" si="1"/>
        <v>76</v>
      </c>
    </row>
    <row r="78" spans="1:19" ht="30" customHeight="1" x14ac:dyDescent="0.2">
      <c r="A78" s="3" t="s">
        <v>100</v>
      </c>
      <c r="B78" s="5" t="s">
        <v>47</v>
      </c>
      <c r="C78" s="3" t="s">
        <v>501</v>
      </c>
      <c r="D78" s="3" t="s">
        <v>100</v>
      </c>
      <c r="E78" s="6" t="s">
        <v>18</v>
      </c>
      <c r="F78" s="7" t="s">
        <v>336</v>
      </c>
      <c r="G78" s="7" t="s">
        <v>154</v>
      </c>
      <c r="H78" s="7" t="s">
        <v>337</v>
      </c>
      <c r="I78" s="10" t="s">
        <v>139</v>
      </c>
      <c r="J78" s="3" t="s">
        <v>502</v>
      </c>
      <c r="K78" s="3" t="s">
        <v>503</v>
      </c>
      <c r="L78" s="11" t="s">
        <v>45</v>
      </c>
      <c r="M78" s="3" t="s">
        <v>340</v>
      </c>
      <c r="S78" s="3">
        <f t="shared" si="1"/>
        <v>77</v>
      </c>
    </row>
    <row r="79" spans="1:19" ht="30" customHeight="1" x14ac:dyDescent="0.2">
      <c r="A79" s="3" t="s">
        <v>100</v>
      </c>
      <c r="B79" s="5" t="s">
        <v>47</v>
      </c>
      <c r="C79" s="3" t="s">
        <v>504</v>
      </c>
      <c r="D79" s="3" t="s">
        <v>100</v>
      </c>
      <c r="E79" s="6" t="s">
        <v>18</v>
      </c>
      <c r="F79" s="7" t="s">
        <v>336</v>
      </c>
      <c r="G79" s="7" t="s">
        <v>154</v>
      </c>
      <c r="H79" s="7" t="s">
        <v>337</v>
      </c>
      <c r="I79" s="10" t="s">
        <v>468</v>
      </c>
      <c r="J79" s="3" t="s">
        <v>505</v>
      </c>
      <c r="K79" s="3" t="s">
        <v>506</v>
      </c>
      <c r="L79" s="3" t="s">
        <v>348</v>
      </c>
      <c r="M79" s="3" t="s">
        <v>340</v>
      </c>
      <c r="S79" s="3">
        <f t="shared" si="1"/>
        <v>78</v>
      </c>
    </row>
    <row r="80" spans="1:19" ht="30" customHeight="1" x14ac:dyDescent="0.2">
      <c r="A80" s="3" t="s">
        <v>77</v>
      </c>
      <c r="B80" s="5" t="s">
        <v>47</v>
      </c>
      <c r="C80" s="3" t="s">
        <v>534</v>
      </c>
      <c r="D80" s="3" t="s">
        <v>77</v>
      </c>
      <c r="E80" s="6" t="s">
        <v>18</v>
      </c>
      <c r="F80" s="7" t="s">
        <v>336</v>
      </c>
      <c r="G80" s="7" t="s">
        <v>154</v>
      </c>
      <c r="H80" s="7" t="s">
        <v>337</v>
      </c>
      <c r="I80" s="10" t="s">
        <v>139</v>
      </c>
      <c r="J80" s="3" t="s">
        <v>535</v>
      </c>
      <c r="K80" s="3" t="s">
        <v>536</v>
      </c>
      <c r="L80" s="11" t="s">
        <v>45</v>
      </c>
      <c r="M80" s="3" t="s">
        <v>340</v>
      </c>
      <c r="S80" s="3">
        <f t="shared" si="1"/>
        <v>79</v>
      </c>
    </row>
    <row r="81" spans="1:19" ht="30" customHeight="1" x14ac:dyDescent="0.2">
      <c r="A81" s="3" t="s">
        <v>77</v>
      </c>
      <c r="B81" s="5" t="s">
        <v>47</v>
      </c>
      <c r="C81" s="3" t="s">
        <v>542</v>
      </c>
      <c r="D81" s="3" t="s">
        <v>77</v>
      </c>
      <c r="E81" s="6" t="s">
        <v>18</v>
      </c>
      <c r="F81" s="7" t="s">
        <v>336</v>
      </c>
      <c r="G81" s="7" t="s">
        <v>154</v>
      </c>
      <c r="H81" s="7" t="s">
        <v>337</v>
      </c>
      <c r="I81" s="10" t="s">
        <v>139</v>
      </c>
      <c r="J81" s="3" t="s">
        <v>543</v>
      </c>
      <c r="K81" s="3" t="s">
        <v>544</v>
      </c>
      <c r="L81" s="3" t="s">
        <v>51</v>
      </c>
      <c r="M81" s="3" t="s">
        <v>340</v>
      </c>
      <c r="S81" s="3">
        <f t="shared" si="1"/>
        <v>80</v>
      </c>
    </row>
    <row r="82" spans="1:19" ht="30" customHeight="1" x14ac:dyDescent="0.2">
      <c r="A82" s="3" t="s">
        <v>77</v>
      </c>
      <c r="B82" s="5" t="s">
        <v>47</v>
      </c>
      <c r="C82" s="3" t="s">
        <v>539</v>
      </c>
      <c r="D82" s="3" t="s">
        <v>77</v>
      </c>
      <c r="E82" s="6" t="s">
        <v>18</v>
      </c>
      <c r="F82" s="7" t="s">
        <v>336</v>
      </c>
      <c r="G82" s="7" t="s">
        <v>154</v>
      </c>
      <c r="H82" s="7" t="s">
        <v>337</v>
      </c>
      <c r="I82" s="10" t="s">
        <v>468</v>
      </c>
      <c r="J82" s="3" t="s">
        <v>541</v>
      </c>
      <c r="K82" s="3" t="s">
        <v>540</v>
      </c>
      <c r="L82" s="3" t="s">
        <v>348</v>
      </c>
      <c r="M82" s="3" t="s">
        <v>340</v>
      </c>
      <c r="S82" s="3">
        <f t="shared" si="1"/>
        <v>81</v>
      </c>
    </row>
    <row r="83" spans="1:19" ht="30" customHeight="1" x14ac:dyDescent="0.2">
      <c r="A83" s="3" t="s">
        <v>77</v>
      </c>
      <c r="B83" s="5" t="s">
        <v>47</v>
      </c>
      <c r="C83" s="3" t="s">
        <v>534</v>
      </c>
      <c r="D83" s="3" t="s">
        <v>77</v>
      </c>
      <c r="E83" s="6" t="s">
        <v>18</v>
      </c>
      <c r="F83" s="7" t="s">
        <v>336</v>
      </c>
      <c r="G83" s="7" t="s">
        <v>154</v>
      </c>
      <c r="H83" s="7" t="s">
        <v>337</v>
      </c>
      <c r="I83" s="10" t="s">
        <v>468</v>
      </c>
      <c r="J83" s="3" t="s">
        <v>537</v>
      </c>
      <c r="K83" s="3" t="s">
        <v>538</v>
      </c>
      <c r="L83" s="11" t="s">
        <v>45</v>
      </c>
      <c r="M83" s="3" t="s">
        <v>340</v>
      </c>
      <c r="S83" s="3">
        <f t="shared" si="1"/>
        <v>82</v>
      </c>
    </row>
    <row r="84" spans="1:19" ht="30" customHeight="1" x14ac:dyDescent="0.2">
      <c r="A84" s="3" t="s">
        <v>77</v>
      </c>
      <c r="B84" s="5" t="s">
        <v>47</v>
      </c>
      <c r="C84" s="3" t="s">
        <v>542</v>
      </c>
      <c r="D84" s="3" t="s">
        <v>77</v>
      </c>
      <c r="E84" s="6" t="s">
        <v>18</v>
      </c>
      <c r="F84" s="7" t="s">
        <v>336</v>
      </c>
      <c r="G84" s="7" t="s">
        <v>154</v>
      </c>
      <c r="H84" s="7" t="s">
        <v>337</v>
      </c>
      <c r="I84" s="10" t="s">
        <v>468</v>
      </c>
      <c r="J84" s="3" t="s">
        <v>545</v>
      </c>
      <c r="K84" s="3" t="s">
        <v>546</v>
      </c>
      <c r="L84" s="3" t="s">
        <v>51</v>
      </c>
      <c r="M84" s="3" t="s">
        <v>340</v>
      </c>
      <c r="S84" s="3">
        <f t="shared" si="1"/>
        <v>83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E78E-B5CD-41E4-AFAE-8FCA52B032D2}">
  <dimension ref="A1:S23"/>
  <sheetViews>
    <sheetView topLeftCell="H1" zoomScaleNormal="100" workbookViewId="0">
      <selection activeCell="T6" sqref="T6"/>
    </sheetView>
  </sheetViews>
  <sheetFormatPr defaultColWidth="20.625" defaultRowHeight="30" customHeight="1" x14ac:dyDescent="0.2"/>
  <cols>
    <col min="1" max="2" width="20.625" style="2"/>
    <col min="3" max="3" width="30.625" style="2" customWidth="1"/>
    <col min="4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A2" s="18" t="s">
        <v>215</v>
      </c>
      <c r="B2" s="19" t="s">
        <v>216</v>
      </c>
      <c r="C2" s="18" t="s">
        <v>217</v>
      </c>
      <c r="D2" s="2" t="s">
        <v>252</v>
      </c>
      <c r="E2" s="2" t="s">
        <v>335</v>
      </c>
      <c r="F2" s="2" t="s">
        <v>334</v>
      </c>
      <c r="G2" s="2" t="s">
        <v>332</v>
      </c>
      <c r="H2" s="2" t="s">
        <v>331</v>
      </c>
      <c r="K2" s="20" t="s">
        <v>42</v>
      </c>
      <c r="L2" s="18" t="s">
        <v>260</v>
      </c>
      <c r="M2" s="18" t="s">
        <v>261</v>
      </c>
      <c r="N2" s="18" t="s">
        <v>45</v>
      </c>
      <c r="O2" s="2" t="s">
        <v>322</v>
      </c>
      <c r="P2" s="2" t="s">
        <v>324</v>
      </c>
      <c r="Q2" s="18" t="s">
        <v>262</v>
      </c>
      <c r="S2" s="3">
        <f>ROW()-1</f>
        <v>1</v>
      </c>
    </row>
    <row r="3" spans="1:19" ht="30" customHeight="1" x14ac:dyDescent="0.2">
      <c r="A3" s="18" t="s">
        <v>218</v>
      </c>
      <c r="B3" s="19" t="s">
        <v>216</v>
      </c>
      <c r="C3" s="18" t="s">
        <v>219</v>
      </c>
      <c r="D3" s="2" t="s">
        <v>252</v>
      </c>
      <c r="E3" s="2" t="s">
        <v>335</v>
      </c>
      <c r="F3" s="2" t="s">
        <v>334</v>
      </c>
      <c r="G3" s="2" t="s">
        <v>332</v>
      </c>
      <c r="H3" s="2" t="s">
        <v>331</v>
      </c>
      <c r="K3" s="20" t="s">
        <v>263</v>
      </c>
      <c r="L3" s="18" t="s">
        <v>264</v>
      </c>
      <c r="M3" s="18" t="s">
        <v>265</v>
      </c>
      <c r="N3" s="18" t="s">
        <v>51</v>
      </c>
      <c r="O3" s="2" t="s">
        <v>322</v>
      </c>
      <c r="P3" s="2" t="s">
        <v>326</v>
      </c>
      <c r="Q3" s="18" t="s">
        <v>266</v>
      </c>
      <c r="S3" s="3">
        <f t="shared" ref="S3:S23" si="0">ROW()-1</f>
        <v>2</v>
      </c>
    </row>
    <row r="4" spans="1:19" ht="30" customHeight="1" x14ac:dyDescent="0.2">
      <c r="A4" s="18" t="s">
        <v>220</v>
      </c>
      <c r="B4" s="19" t="s">
        <v>216</v>
      </c>
      <c r="C4" s="18" t="s">
        <v>221</v>
      </c>
      <c r="D4" s="2" t="s">
        <v>252</v>
      </c>
      <c r="E4" s="2" t="s">
        <v>335</v>
      </c>
      <c r="F4" s="2" t="s">
        <v>334</v>
      </c>
      <c r="G4" s="2" t="s">
        <v>332</v>
      </c>
      <c r="H4" s="2" t="s">
        <v>331</v>
      </c>
      <c r="K4" s="20" t="s">
        <v>42</v>
      </c>
      <c r="L4" s="18" t="s">
        <v>267</v>
      </c>
      <c r="M4" s="18" t="s">
        <v>268</v>
      </c>
      <c r="N4" s="18" t="s">
        <v>51</v>
      </c>
      <c r="O4" s="2" t="s">
        <v>322</v>
      </c>
      <c r="P4" s="2" t="s">
        <v>324</v>
      </c>
      <c r="Q4" s="18" t="s">
        <v>269</v>
      </c>
      <c r="S4" s="3">
        <f t="shared" si="0"/>
        <v>3</v>
      </c>
    </row>
    <row r="5" spans="1:19" ht="30" customHeight="1" x14ac:dyDescent="0.2">
      <c r="A5" s="18" t="s">
        <v>571</v>
      </c>
      <c r="B5" s="19" t="s">
        <v>216</v>
      </c>
      <c r="C5" s="18" t="s">
        <v>570</v>
      </c>
      <c r="D5" s="2" t="s">
        <v>572</v>
      </c>
      <c r="E5" s="2" t="s">
        <v>335</v>
      </c>
      <c r="F5" s="2" t="s">
        <v>334</v>
      </c>
      <c r="G5" s="2" t="s">
        <v>332</v>
      </c>
      <c r="H5" s="2" t="s">
        <v>331</v>
      </c>
      <c r="K5" s="20" t="s">
        <v>42</v>
      </c>
      <c r="L5" s="18" t="s">
        <v>573</v>
      </c>
      <c r="M5" s="18" t="s">
        <v>574</v>
      </c>
      <c r="N5" s="18" t="s">
        <v>51</v>
      </c>
      <c r="O5" s="2" t="s">
        <v>322</v>
      </c>
      <c r="P5" s="2" t="s">
        <v>324</v>
      </c>
      <c r="Q5" s="18" t="s">
        <v>575</v>
      </c>
      <c r="S5" s="3">
        <f t="shared" si="0"/>
        <v>4</v>
      </c>
    </row>
    <row r="6" spans="1:19" ht="30" customHeight="1" x14ac:dyDescent="0.2">
      <c r="A6" s="18" t="s">
        <v>576</v>
      </c>
      <c r="B6" s="19" t="s">
        <v>216</v>
      </c>
      <c r="C6" s="18" t="s">
        <v>577</v>
      </c>
      <c r="D6" s="2" t="s">
        <v>572</v>
      </c>
      <c r="E6" s="2" t="s">
        <v>335</v>
      </c>
      <c r="F6" s="2" t="s">
        <v>334</v>
      </c>
      <c r="G6" s="2" t="s">
        <v>332</v>
      </c>
      <c r="H6" s="2" t="s">
        <v>331</v>
      </c>
      <c r="K6" s="20" t="s">
        <v>578</v>
      </c>
      <c r="L6" s="18" t="s">
        <v>579</v>
      </c>
      <c r="M6" s="18" t="s">
        <v>580</v>
      </c>
      <c r="N6" s="18" t="s">
        <v>51</v>
      </c>
      <c r="O6" s="2" t="s">
        <v>322</v>
      </c>
      <c r="P6" s="2" t="s">
        <v>326</v>
      </c>
      <c r="Q6" s="18" t="s">
        <v>581</v>
      </c>
      <c r="S6" s="3">
        <f t="shared" si="0"/>
        <v>5</v>
      </c>
    </row>
    <row r="7" spans="1:19" ht="30" customHeight="1" x14ac:dyDescent="0.2">
      <c r="A7" s="20" t="s">
        <v>222</v>
      </c>
      <c r="B7" s="19" t="s">
        <v>216</v>
      </c>
      <c r="C7" s="20" t="s">
        <v>223</v>
      </c>
      <c r="D7" s="2" t="s">
        <v>253</v>
      </c>
      <c r="E7" s="2" t="s">
        <v>335</v>
      </c>
      <c r="F7" s="2" t="s">
        <v>334</v>
      </c>
      <c r="G7" s="2" t="s">
        <v>332</v>
      </c>
      <c r="H7" s="2" t="s">
        <v>331</v>
      </c>
      <c r="K7" s="20" t="s">
        <v>42</v>
      </c>
      <c r="L7" s="20" t="s">
        <v>270</v>
      </c>
      <c r="M7" s="20" t="s">
        <v>271</v>
      </c>
      <c r="N7" s="20" t="s">
        <v>51</v>
      </c>
      <c r="O7" s="2" t="s">
        <v>322</v>
      </c>
      <c r="P7" s="2" t="s">
        <v>329</v>
      </c>
      <c r="Q7" s="20" t="s">
        <v>272</v>
      </c>
      <c r="S7" s="3">
        <f t="shared" si="0"/>
        <v>6</v>
      </c>
    </row>
    <row r="8" spans="1:19" ht="30" customHeight="1" x14ac:dyDescent="0.2">
      <c r="A8" s="20" t="s">
        <v>224</v>
      </c>
      <c r="B8" s="19" t="s">
        <v>216</v>
      </c>
      <c r="C8" s="20" t="s">
        <v>225</v>
      </c>
      <c r="D8" s="2" t="s">
        <v>253</v>
      </c>
      <c r="E8" s="2" t="s">
        <v>335</v>
      </c>
      <c r="F8" s="2" t="s">
        <v>334</v>
      </c>
      <c r="G8" s="2" t="s">
        <v>332</v>
      </c>
      <c r="H8" s="2" t="s">
        <v>331</v>
      </c>
      <c r="K8" s="20" t="s">
        <v>42</v>
      </c>
      <c r="L8" s="20" t="s">
        <v>273</v>
      </c>
      <c r="M8" s="20" t="s">
        <v>274</v>
      </c>
      <c r="N8" s="20" t="s">
        <v>321</v>
      </c>
      <c r="O8" s="2" t="s">
        <v>322</v>
      </c>
      <c r="P8" s="2" t="s">
        <v>327</v>
      </c>
      <c r="Q8" s="20" t="s">
        <v>275</v>
      </c>
      <c r="S8" s="3">
        <f t="shared" si="0"/>
        <v>7</v>
      </c>
    </row>
    <row r="9" spans="1:19" ht="30" customHeight="1" x14ac:dyDescent="0.2">
      <c r="A9" s="20" t="s">
        <v>226</v>
      </c>
      <c r="B9" s="19" t="s">
        <v>216</v>
      </c>
      <c r="C9" s="20" t="s">
        <v>227</v>
      </c>
      <c r="D9" s="2" t="s">
        <v>254</v>
      </c>
      <c r="E9" s="2" t="s">
        <v>335</v>
      </c>
      <c r="F9" s="2" t="s">
        <v>334</v>
      </c>
      <c r="G9" s="2" t="s">
        <v>332</v>
      </c>
      <c r="H9" s="2" t="s">
        <v>331</v>
      </c>
      <c r="K9" s="20" t="s">
        <v>42</v>
      </c>
      <c r="L9" s="20" t="s">
        <v>276</v>
      </c>
      <c r="M9" s="20" t="s">
        <v>277</v>
      </c>
      <c r="N9" s="20" t="s">
        <v>51</v>
      </c>
      <c r="O9" s="2" t="s">
        <v>322</v>
      </c>
      <c r="P9" s="2" t="s">
        <v>327</v>
      </c>
      <c r="Q9" s="20" t="s">
        <v>278</v>
      </c>
      <c r="S9" s="3">
        <f t="shared" si="0"/>
        <v>8</v>
      </c>
    </row>
    <row r="10" spans="1:19" ht="30" customHeight="1" x14ac:dyDescent="0.2">
      <c r="A10" s="20" t="s">
        <v>228</v>
      </c>
      <c r="B10" s="19" t="s">
        <v>216</v>
      </c>
      <c r="C10" s="20" t="s">
        <v>229</v>
      </c>
      <c r="D10" s="2" t="s">
        <v>254</v>
      </c>
      <c r="E10" s="2" t="s">
        <v>335</v>
      </c>
      <c r="F10" s="2" t="s">
        <v>334</v>
      </c>
      <c r="G10" s="2" t="s">
        <v>332</v>
      </c>
      <c r="H10" s="2" t="s">
        <v>331</v>
      </c>
      <c r="K10" s="20" t="s">
        <v>42</v>
      </c>
      <c r="L10" s="20" t="s">
        <v>279</v>
      </c>
      <c r="M10" s="20" t="s">
        <v>280</v>
      </c>
      <c r="N10" s="20" t="s">
        <v>321</v>
      </c>
      <c r="O10" s="2" t="s">
        <v>322</v>
      </c>
      <c r="P10" s="2" t="s">
        <v>327</v>
      </c>
      <c r="Q10" s="20" t="s">
        <v>281</v>
      </c>
      <c r="S10" s="3">
        <f t="shared" si="0"/>
        <v>9</v>
      </c>
    </row>
    <row r="11" spans="1:19" ht="30" customHeight="1" x14ac:dyDescent="0.2">
      <c r="A11" s="20" t="s">
        <v>230</v>
      </c>
      <c r="B11" s="19" t="s">
        <v>216</v>
      </c>
      <c r="C11" s="20" t="s">
        <v>231</v>
      </c>
      <c r="D11" s="2" t="s">
        <v>255</v>
      </c>
      <c r="E11" s="2" t="s">
        <v>335</v>
      </c>
      <c r="F11" s="2" t="s">
        <v>334</v>
      </c>
      <c r="G11" s="2" t="s">
        <v>332</v>
      </c>
      <c r="H11" s="2" t="s">
        <v>331</v>
      </c>
      <c r="K11" s="20" t="s">
        <v>263</v>
      </c>
      <c r="L11" s="20" t="s">
        <v>282</v>
      </c>
      <c r="M11" s="20" t="s">
        <v>283</v>
      </c>
      <c r="N11" s="20" t="s">
        <v>51</v>
      </c>
      <c r="O11" s="2" t="s">
        <v>322</v>
      </c>
      <c r="P11" s="2" t="s">
        <v>327</v>
      </c>
      <c r="Q11" s="20"/>
      <c r="S11" s="3">
        <f t="shared" si="0"/>
        <v>10</v>
      </c>
    </row>
    <row r="12" spans="1:19" ht="30" customHeight="1" x14ac:dyDescent="0.2">
      <c r="A12" s="20" t="s">
        <v>232</v>
      </c>
      <c r="B12" s="19" t="s">
        <v>216</v>
      </c>
      <c r="C12" s="20" t="s">
        <v>233</v>
      </c>
      <c r="D12" s="2" t="s">
        <v>256</v>
      </c>
      <c r="E12" s="2" t="s">
        <v>335</v>
      </c>
      <c r="F12" s="2" t="s">
        <v>334</v>
      </c>
      <c r="G12" s="2" t="s">
        <v>332</v>
      </c>
      <c r="H12" s="2" t="s">
        <v>331</v>
      </c>
      <c r="K12" s="20" t="s">
        <v>263</v>
      </c>
      <c r="L12" s="20" t="s">
        <v>284</v>
      </c>
      <c r="M12" s="20" t="s">
        <v>285</v>
      </c>
      <c r="N12" s="20" t="s">
        <v>321</v>
      </c>
      <c r="O12" s="2" t="s">
        <v>323</v>
      </c>
      <c r="P12" s="2" t="s">
        <v>330</v>
      </c>
      <c r="Q12" s="20" t="s">
        <v>286</v>
      </c>
      <c r="S12" s="3">
        <f t="shared" si="0"/>
        <v>11</v>
      </c>
    </row>
    <row r="13" spans="1:19" ht="30" customHeight="1" x14ac:dyDescent="0.2">
      <c r="A13" s="20" t="s">
        <v>234</v>
      </c>
      <c r="B13" s="19" t="s">
        <v>216</v>
      </c>
      <c r="C13" s="20" t="s">
        <v>235</v>
      </c>
      <c r="D13" s="2" t="s">
        <v>256</v>
      </c>
      <c r="E13" s="2" t="s">
        <v>335</v>
      </c>
      <c r="F13" s="2" t="s">
        <v>334</v>
      </c>
      <c r="G13" s="2" t="s">
        <v>332</v>
      </c>
      <c r="H13" s="2" t="s">
        <v>331</v>
      </c>
      <c r="K13" s="20" t="s">
        <v>263</v>
      </c>
      <c r="L13" s="20" t="s">
        <v>287</v>
      </c>
      <c r="M13" s="20" t="s">
        <v>288</v>
      </c>
      <c r="N13" s="20" t="s">
        <v>321</v>
      </c>
      <c r="O13" s="2" t="s">
        <v>323</v>
      </c>
      <c r="P13" s="2" t="s">
        <v>327</v>
      </c>
      <c r="Q13" s="20" t="s">
        <v>289</v>
      </c>
      <c r="S13" s="3">
        <f t="shared" si="0"/>
        <v>12</v>
      </c>
    </row>
    <row r="14" spans="1:19" ht="30" customHeight="1" x14ac:dyDescent="0.2">
      <c r="A14" s="20" t="s">
        <v>236</v>
      </c>
      <c r="B14" s="19" t="s">
        <v>216</v>
      </c>
      <c r="C14" s="20" t="s">
        <v>237</v>
      </c>
      <c r="D14" s="2" t="s">
        <v>256</v>
      </c>
      <c r="E14" s="2" t="s">
        <v>335</v>
      </c>
      <c r="F14" s="2" t="s">
        <v>334</v>
      </c>
      <c r="G14" s="2" t="s">
        <v>332</v>
      </c>
      <c r="H14" s="2" t="s">
        <v>331</v>
      </c>
      <c r="K14" s="20" t="s">
        <v>42</v>
      </c>
      <c r="L14" s="20" t="s">
        <v>290</v>
      </c>
      <c r="M14" s="20" t="s">
        <v>291</v>
      </c>
      <c r="N14" s="20" t="s">
        <v>321</v>
      </c>
      <c r="O14" s="2" t="s">
        <v>322</v>
      </c>
      <c r="P14" s="2" t="s">
        <v>327</v>
      </c>
      <c r="Q14" s="20" t="s">
        <v>292</v>
      </c>
      <c r="S14" s="3">
        <f t="shared" si="0"/>
        <v>13</v>
      </c>
    </row>
    <row r="15" spans="1:19" ht="30" customHeight="1" x14ac:dyDescent="0.2">
      <c r="A15" s="20" t="s">
        <v>238</v>
      </c>
      <c r="B15" s="19" t="s">
        <v>216</v>
      </c>
      <c r="C15" s="20" t="s">
        <v>239</v>
      </c>
      <c r="D15" s="2" t="s">
        <v>257</v>
      </c>
      <c r="E15" s="2" t="s">
        <v>335</v>
      </c>
      <c r="F15" s="2" t="s">
        <v>334</v>
      </c>
      <c r="G15" s="2" t="s">
        <v>333</v>
      </c>
      <c r="H15" s="2" t="s">
        <v>331</v>
      </c>
      <c r="K15" s="20" t="s">
        <v>293</v>
      </c>
      <c r="L15" s="20" t="s">
        <v>294</v>
      </c>
      <c r="M15" s="20" t="s">
        <v>295</v>
      </c>
      <c r="N15" s="20" t="s">
        <v>51</v>
      </c>
      <c r="O15" s="2" t="s">
        <v>322</v>
      </c>
      <c r="P15" s="2" t="s">
        <v>325</v>
      </c>
      <c r="Q15" s="20" t="s">
        <v>266</v>
      </c>
      <c r="S15" s="3">
        <f t="shared" si="0"/>
        <v>14</v>
      </c>
    </row>
    <row r="16" spans="1:19" ht="30" customHeight="1" x14ac:dyDescent="0.2">
      <c r="A16" s="20" t="s">
        <v>240</v>
      </c>
      <c r="B16" s="19" t="s">
        <v>216</v>
      </c>
      <c r="C16" s="20" t="s">
        <v>241</v>
      </c>
      <c r="D16" s="2" t="s">
        <v>257</v>
      </c>
      <c r="E16" s="2" t="s">
        <v>335</v>
      </c>
      <c r="F16" s="2" t="s">
        <v>334</v>
      </c>
      <c r="G16" s="2" t="s">
        <v>333</v>
      </c>
      <c r="H16" s="2" t="s">
        <v>331</v>
      </c>
      <c r="K16" s="20" t="s">
        <v>42</v>
      </c>
      <c r="L16" s="20" t="s">
        <v>296</v>
      </c>
      <c r="M16" s="20" t="s">
        <v>297</v>
      </c>
      <c r="N16" s="20" t="s">
        <v>51</v>
      </c>
      <c r="O16" s="2" t="s">
        <v>322</v>
      </c>
      <c r="P16" s="2" t="s">
        <v>324</v>
      </c>
      <c r="Q16" s="20" t="s">
        <v>298</v>
      </c>
      <c r="S16" s="3">
        <f t="shared" si="0"/>
        <v>15</v>
      </c>
    </row>
    <row r="17" spans="1:19" ht="30" customHeight="1" x14ac:dyDescent="0.2">
      <c r="A17" s="20" t="s">
        <v>224</v>
      </c>
      <c r="B17" s="19" t="s">
        <v>216</v>
      </c>
      <c r="C17" s="20" t="s">
        <v>242</v>
      </c>
      <c r="D17" s="2" t="s">
        <v>253</v>
      </c>
      <c r="E17" s="2" t="s">
        <v>335</v>
      </c>
      <c r="F17" s="2" t="s">
        <v>334</v>
      </c>
      <c r="G17" s="2" t="s">
        <v>333</v>
      </c>
      <c r="H17" s="2" t="s">
        <v>331</v>
      </c>
      <c r="K17" s="20" t="s">
        <v>42</v>
      </c>
      <c r="L17" s="20" t="s">
        <v>299</v>
      </c>
      <c r="M17" s="20" t="s">
        <v>300</v>
      </c>
      <c r="N17" s="20" t="s">
        <v>321</v>
      </c>
      <c r="O17" s="2" t="s">
        <v>322</v>
      </c>
      <c r="P17" s="2" t="s">
        <v>327</v>
      </c>
      <c r="Q17" s="20" t="s">
        <v>301</v>
      </c>
      <c r="S17" s="3">
        <f t="shared" si="0"/>
        <v>16</v>
      </c>
    </row>
    <row r="18" spans="1:19" ht="30" customHeight="1" x14ac:dyDescent="0.2">
      <c r="A18" s="20" t="s">
        <v>243</v>
      </c>
      <c r="B18" s="19" t="s">
        <v>216</v>
      </c>
      <c r="C18" s="20" t="s">
        <v>244</v>
      </c>
      <c r="D18" s="2" t="s">
        <v>255</v>
      </c>
      <c r="E18" s="2" t="s">
        <v>335</v>
      </c>
      <c r="F18" s="2" t="s">
        <v>334</v>
      </c>
      <c r="G18" s="2" t="s">
        <v>333</v>
      </c>
      <c r="H18" s="2" t="s">
        <v>331</v>
      </c>
      <c r="K18" s="20" t="s">
        <v>302</v>
      </c>
      <c r="L18" s="20" t="s">
        <v>303</v>
      </c>
      <c r="M18" s="20" t="s">
        <v>304</v>
      </c>
      <c r="N18" s="20" t="s">
        <v>51</v>
      </c>
      <c r="O18" s="2" t="s">
        <v>322</v>
      </c>
      <c r="P18" s="2" t="s">
        <v>325</v>
      </c>
      <c r="Q18" s="20" t="s">
        <v>305</v>
      </c>
      <c r="S18" s="3">
        <f t="shared" si="0"/>
        <v>17</v>
      </c>
    </row>
    <row r="19" spans="1:19" ht="30" customHeight="1" x14ac:dyDescent="0.2">
      <c r="A19" s="20" t="s">
        <v>245</v>
      </c>
      <c r="B19" s="19" t="s">
        <v>216</v>
      </c>
      <c r="C19" s="20" t="s">
        <v>246</v>
      </c>
      <c r="D19" s="2" t="s">
        <v>258</v>
      </c>
      <c r="E19" s="2" t="s">
        <v>335</v>
      </c>
      <c r="F19" s="2" t="s">
        <v>334</v>
      </c>
      <c r="G19" s="2" t="s">
        <v>333</v>
      </c>
      <c r="H19" s="2" t="s">
        <v>331</v>
      </c>
      <c r="K19" s="20" t="s">
        <v>293</v>
      </c>
      <c r="L19" s="20" t="s">
        <v>306</v>
      </c>
      <c r="M19" s="20" t="s">
        <v>307</v>
      </c>
      <c r="N19" s="20" t="s">
        <v>321</v>
      </c>
      <c r="O19" s="2" t="s">
        <v>323</v>
      </c>
      <c r="P19" s="2" t="s">
        <v>327</v>
      </c>
      <c r="Q19" s="20" t="s">
        <v>308</v>
      </c>
      <c r="S19" s="3">
        <f t="shared" si="0"/>
        <v>18</v>
      </c>
    </row>
    <row r="20" spans="1:19" ht="30" customHeight="1" x14ac:dyDescent="0.2">
      <c r="A20" s="20" t="s">
        <v>236</v>
      </c>
      <c r="B20" s="19" t="s">
        <v>216</v>
      </c>
      <c r="C20" s="20" t="s">
        <v>247</v>
      </c>
      <c r="D20" s="2" t="s">
        <v>256</v>
      </c>
      <c r="E20" s="2" t="s">
        <v>335</v>
      </c>
      <c r="F20" s="2" t="s">
        <v>334</v>
      </c>
      <c r="G20" s="2" t="s">
        <v>333</v>
      </c>
      <c r="H20" s="2" t="s">
        <v>331</v>
      </c>
      <c r="K20" s="20" t="s">
        <v>263</v>
      </c>
      <c r="L20" s="20" t="s">
        <v>309</v>
      </c>
      <c r="M20" s="20" t="s">
        <v>310</v>
      </c>
      <c r="N20" s="20" t="s">
        <v>321</v>
      </c>
      <c r="O20" s="2" t="s">
        <v>322</v>
      </c>
      <c r="P20" s="2" t="s">
        <v>327</v>
      </c>
      <c r="Q20" s="20" t="s">
        <v>311</v>
      </c>
      <c r="S20" s="3">
        <f t="shared" si="0"/>
        <v>19</v>
      </c>
    </row>
    <row r="21" spans="1:19" ht="30" customHeight="1" x14ac:dyDescent="0.2">
      <c r="A21" s="20" t="s">
        <v>248</v>
      </c>
      <c r="B21" s="19" t="s">
        <v>216</v>
      </c>
      <c r="C21" s="20" t="s">
        <v>249</v>
      </c>
      <c r="D21" s="2" t="s">
        <v>259</v>
      </c>
      <c r="E21" s="2" t="s">
        <v>335</v>
      </c>
      <c r="F21" s="2" t="s">
        <v>334</v>
      </c>
      <c r="G21" s="2" t="s">
        <v>333</v>
      </c>
      <c r="H21" s="2" t="s">
        <v>331</v>
      </c>
      <c r="K21" s="20" t="s">
        <v>263</v>
      </c>
      <c r="L21" s="20" t="s">
        <v>312</v>
      </c>
      <c r="M21" s="20" t="s">
        <v>313</v>
      </c>
      <c r="N21" s="20" t="s">
        <v>321</v>
      </c>
      <c r="O21" s="2" t="s">
        <v>323</v>
      </c>
      <c r="P21" s="2" t="s">
        <v>328</v>
      </c>
      <c r="Q21" s="20" t="s">
        <v>314</v>
      </c>
      <c r="S21" s="3">
        <f t="shared" si="0"/>
        <v>20</v>
      </c>
    </row>
    <row r="22" spans="1:19" ht="30" customHeight="1" x14ac:dyDescent="0.2">
      <c r="A22" s="20" t="s">
        <v>250</v>
      </c>
      <c r="B22" s="19" t="s">
        <v>216</v>
      </c>
      <c r="C22" s="20" t="s">
        <v>249</v>
      </c>
      <c r="D22" s="2" t="s">
        <v>259</v>
      </c>
      <c r="E22" s="2" t="s">
        <v>335</v>
      </c>
      <c r="F22" s="2" t="s">
        <v>334</v>
      </c>
      <c r="G22" s="2" t="s">
        <v>333</v>
      </c>
      <c r="H22" s="2" t="s">
        <v>331</v>
      </c>
      <c r="K22" s="20" t="s">
        <v>263</v>
      </c>
      <c r="L22" s="20" t="s">
        <v>315</v>
      </c>
      <c r="M22" s="20" t="s">
        <v>316</v>
      </c>
      <c r="N22" s="20" t="s">
        <v>321</v>
      </c>
      <c r="O22" s="2" t="s">
        <v>323</v>
      </c>
      <c r="P22" s="2" t="s">
        <v>328</v>
      </c>
      <c r="Q22" s="20" t="s">
        <v>317</v>
      </c>
      <c r="S22" s="3">
        <f t="shared" si="0"/>
        <v>21</v>
      </c>
    </row>
    <row r="23" spans="1:19" ht="30" customHeight="1" x14ac:dyDescent="0.2">
      <c r="A23" s="20" t="s">
        <v>251</v>
      </c>
      <c r="B23" s="19" t="s">
        <v>216</v>
      </c>
      <c r="C23" s="20" t="s">
        <v>249</v>
      </c>
      <c r="D23" s="2" t="s">
        <v>259</v>
      </c>
      <c r="E23" s="2" t="s">
        <v>335</v>
      </c>
      <c r="F23" s="2" t="s">
        <v>334</v>
      </c>
      <c r="G23" s="2" t="s">
        <v>333</v>
      </c>
      <c r="H23" s="2" t="s">
        <v>331</v>
      </c>
      <c r="K23" s="20" t="s">
        <v>263</v>
      </c>
      <c r="L23" s="20" t="s">
        <v>318</v>
      </c>
      <c r="M23" s="20" t="s">
        <v>319</v>
      </c>
      <c r="N23" s="20" t="s">
        <v>321</v>
      </c>
      <c r="O23" s="2" t="s">
        <v>323</v>
      </c>
      <c r="P23" s="2" t="s">
        <v>328</v>
      </c>
      <c r="Q23" s="20" t="s">
        <v>320</v>
      </c>
      <c r="S23" s="3">
        <f t="shared" si="0"/>
        <v>22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C108-42E7-4DD6-811D-82DDEF6B1DBC}">
  <dimension ref="A1:S6"/>
  <sheetViews>
    <sheetView zoomScaleNormal="100" workbookViewId="0">
      <selection activeCell="C15" sqref="C15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s="3" customFormat="1" ht="30" customHeight="1" x14ac:dyDescent="0.2">
      <c r="A2" s="3" t="s">
        <v>422</v>
      </c>
      <c r="B2" s="21" t="s">
        <v>410</v>
      </c>
      <c r="C2" s="21" t="s">
        <v>425</v>
      </c>
      <c r="D2" s="3" t="s">
        <v>422</v>
      </c>
      <c r="E2" s="2" t="s">
        <v>412</v>
      </c>
      <c r="F2" s="2" t="s">
        <v>413</v>
      </c>
      <c r="G2" s="2" t="s">
        <v>426</v>
      </c>
      <c r="H2" s="2" t="s">
        <v>415</v>
      </c>
      <c r="K2" s="2" t="s">
        <v>418</v>
      </c>
      <c r="L2" s="4" t="s">
        <v>423</v>
      </c>
      <c r="M2" s="4" t="s">
        <v>424</v>
      </c>
      <c r="N2" s="4"/>
      <c r="O2" s="4"/>
      <c r="P2" s="4"/>
      <c r="S2" s="3">
        <f>ROW()-1</f>
        <v>1</v>
      </c>
    </row>
    <row r="3" spans="1:19" ht="30" customHeight="1" x14ac:dyDescent="0.2">
      <c r="A3" s="21" t="s">
        <v>409</v>
      </c>
      <c r="B3" s="21" t="s">
        <v>410</v>
      </c>
      <c r="C3" s="21" t="s">
        <v>411</v>
      </c>
      <c r="D3" s="21" t="s">
        <v>409</v>
      </c>
      <c r="E3" s="2" t="s">
        <v>412</v>
      </c>
      <c r="F3" s="2" t="s">
        <v>413</v>
      </c>
      <c r="G3" s="2" t="s">
        <v>414</v>
      </c>
      <c r="H3" s="2" t="s">
        <v>415</v>
      </c>
      <c r="K3" s="2" t="s">
        <v>418</v>
      </c>
      <c r="L3" s="2" t="s">
        <v>416</v>
      </c>
      <c r="M3" s="2" t="s">
        <v>417</v>
      </c>
      <c r="S3" s="3">
        <f>ROW()-1</f>
        <v>2</v>
      </c>
    </row>
    <row r="4" spans="1:19" ht="30" customHeight="1" x14ac:dyDescent="0.2">
      <c r="A4" s="21" t="s">
        <v>429</v>
      </c>
      <c r="B4" s="21" t="s">
        <v>410</v>
      </c>
      <c r="C4" s="21" t="s">
        <v>430</v>
      </c>
      <c r="D4" s="21" t="s">
        <v>429</v>
      </c>
      <c r="E4" s="2" t="s">
        <v>412</v>
      </c>
      <c r="F4" s="2" t="s">
        <v>413</v>
      </c>
      <c r="G4" s="2" t="s">
        <v>419</v>
      </c>
      <c r="H4" s="2" t="s">
        <v>415</v>
      </c>
      <c r="K4" s="2" t="s">
        <v>418</v>
      </c>
      <c r="L4" s="2" t="s">
        <v>431</v>
      </c>
      <c r="M4" s="2" t="s">
        <v>432</v>
      </c>
      <c r="S4" s="3">
        <f>ROW()-1</f>
        <v>3</v>
      </c>
    </row>
    <row r="5" spans="1:19" ht="30" customHeight="1" x14ac:dyDescent="0.2">
      <c r="A5" s="21" t="s">
        <v>427</v>
      </c>
      <c r="B5" s="21" t="s">
        <v>410</v>
      </c>
      <c r="C5" s="21" t="s">
        <v>428</v>
      </c>
      <c r="D5" s="21" t="s">
        <v>427</v>
      </c>
      <c r="E5" s="2" t="s">
        <v>412</v>
      </c>
      <c r="F5" s="2" t="s">
        <v>413</v>
      </c>
      <c r="G5" s="2" t="s">
        <v>419</v>
      </c>
      <c r="H5" s="2" t="s">
        <v>415</v>
      </c>
      <c r="K5" s="2" t="s">
        <v>418</v>
      </c>
      <c r="L5" s="2" t="s">
        <v>420</v>
      </c>
      <c r="M5" s="2" t="s">
        <v>421</v>
      </c>
      <c r="S5" s="3">
        <f>ROW()-1</f>
        <v>4</v>
      </c>
    </row>
    <row r="6" spans="1:19" ht="30" customHeight="1" x14ac:dyDescent="0.2">
      <c r="S6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194E-D31F-448E-A643-580289C17A26}">
  <dimension ref="A1:S9"/>
  <sheetViews>
    <sheetView zoomScale="85" zoomScaleNormal="85" workbookViewId="0">
      <selection activeCell="C16" sqref="C16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A2" s="26" t="s">
        <v>655</v>
      </c>
      <c r="B2" s="26" t="s">
        <v>679</v>
      </c>
      <c r="C2" s="26" t="s">
        <v>659</v>
      </c>
      <c r="D2" s="26" t="s">
        <v>655</v>
      </c>
      <c r="E2" s="2" t="s">
        <v>679</v>
      </c>
      <c r="F2" s="2" t="s">
        <v>674</v>
      </c>
      <c r="G2" s="2" t="s">
        <v>675</v>
      </c>
      <c r="H2" s="2" t="s">
        <v>676</v>
      </c>
      <c r="S2" s="3">
        <f>ROW()-1</f>
        <v>1</v>
      </c>
    </row>
    <row r="3" spans="1:19" ht="30" customHeight="1" x14ac:dyDescent="0.2">
      <c r="A3" s="26" t="s">
        <v>656</v>
      </c>
      <c r="B3" s="26" t="s">
        <v>679</v>
      </c>
      <c r="C3" s="26" t="s">
        <v>660</v>
      </c>
      <c r="D3" s="26" t="s">
        <v>656</v>
      </c>
      <c r="E3" s="2" t="s">
        <v>679</v>
      </c>
      <c r="F3" s="2" t="s">
        <v>674</v>
      </c>
      <c r="S3" s="3">
        <f t="shared" ref="S3:S9" si="0">ROW()-1</f>
        <v>2</v>
      </c>
    </row>
    <row r="4" spans="1:19" ht="30" customHeight="1" x14ac:dyDescent="0.2">
      <c r="A4" s="26" t="s">
        <v>657</v>
      </c>
      <c r="B4" s="26" t="s">
        <v>679</v>
      </c>
      <c r="C4" s="26" t="s">
        <v>661</v>
      </c>
      <c r="D4" s="26" t="s">
        <v>657</v>
      </c>
      <c r="E4" s="2" t="s">
        <v>679</v>
      </c>
      <c r="F4" s="2" t="s">
        <v>674</v>
      </c>
      <c r="S4" s="3">
        <f t="shared" si="0"/>
        <v>3</v>
      </c>
    </row>
    <row r="5" spans="1:19" ht="30" customHeight="1" x14ac:dyDescent="0.2">
      <c r="A5" s="26" t="s">
        <v>680</v>
      </c>
      <c r="B5" s="26" t="s">
        <v>658</v>
      </c>
      <c r="C5" s="26" t="s">
        <v>667</v>
      </c>
      <c r="D5" s="26" t="s">
        <v>662</v>
      </c>
      <c r="E5" s="2" t="s">
        <v>679</v>
      </c>
      <c r="F5" s="2" t="s">
        <v>674</v>
      </c>
      <c r="S5" s="3">
        <f t="shared" si="0"/>
        <v>4</v>
      </c>
    </row>
    <row r="6" spans="1:19" ht="30" customHeight="1" x14ac:dyDescent="0.2">
      <c r="A6" s="26" t="s">
        <v>677</v>
      </c>
      <c r="B6" s="26" t="s">
        <v>658</v>
      </c>
      <c r="C6" s="26" t="s">
        <v>668</v>
      </c>
      <c r="D6" s="26" t="s">
        <v>663</v>
      </c>
      <c r="S6" s="3">
        <f t="shared" si="0"/>
        <v>5</v>
      </c>
    </row>
    <row r="7" spans="1:19" ht="30" customHeight="1" x14ac:dyDescent="0.2">
      <c r="A7" s="26" t="s">
        <v>678</v>
      </c>
      <c r="B7" s="26" t="s">
        <v>658</v>
      </c>
      <c r="C7" s="26" t="s">
        <v>669</v>
      </c>
      <c r="D7" s="26" t="s">
        <v>664</v>
      </c>
      <c r="S7" s="3">
        <f t="shared" si="0"/>
        <v>6</v>
      </c>
    </row>
    <row r="8" spans="1:19" ht="30" customHeight="1" x14ac:dyDescent="0.2">
      <c r="A8" s="26" t="s">
        <v>665</v>
      </c>
      <c r="B8" s="26" t="s">
        <v>670</v>
      </c>
      <c r="C8" s="26" t="s">
        <v>671</v>
      </c>
      <c r="D8" s="26" t="s">
        <v>665</v>
      </c>
      <c r="S8" s="3">
        <f t="shared" si="0"/>
        <v>7</v>
      </c>
    </row>
    <row r="9" spans="1:19" ht="30" customHeight="1" x14ac:dyDescent="0.2">
      <c r="A9" s="16" t="s">
        <v>666</v>
      </c>
      <c r="B9" s="16" t="s">
        <v>672</v>
      </c>
      <c r="C9" s="16" t="s">
        <v>673</v>
      </c>
      <c r="D9" s="16" t="s">
        <v>666</v>
      </c>
      <c r="S9" s="3">
        <f t="shared" si="0"/>
        <v>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867D-79AD-4371-AA94-A323E0F6CE87}">
  <dimension ref="A1:S5"/>
  <sheetViews>
    <sheetView workbookViewId="0">
      <selection activeCell="F19" sqref="F19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1159-BF2A-42EE-902F-394EF7051152}">
  <dimension ref="A1:S5"/>
  <sheetViews>
    <sheetView workbookViewId="0">
      <selection activeCell="D24" sqref="D24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A765-44C3-4800-9355-3AF774FA9CDF}">
  <dimension ref="A1:S6"/>
  <sheetViews>
    <sheetView workbookViewId="0">
      <selection activeCell="D18" sqref="D18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s="3" customFormat="1" ht="30" customHeight="1" x14ac:dyDescent="0.2">
      <c r="A2" s="2" t="s">
        <v>629</v>
      </c>
      <c r="B2" s="2" t="s">
        <v>548</v>
      </c>
      <c r="C2" s="3" t="s">
        <v>630</v>
      </c>
      <c r="D2" s="3" t="s">
        <v>631</v>
      </c>
      <c r="E2" s="1"/>
      <c r="F2" s="1"/>
      <c r="K2" s="4" t="s">
        <v>632</v>
      </c>
      <c r="L2" s="4" t="s">
        <v>633</v>
      </c>
      <c r="M2" s="4" t="s">
        <v>634</v>
      </c>
      <c r="N2" s="4" t="s">
        <v>348</v>
      </c>
      <c r="O2" s="4"/>
      <c r="P2" s="4"/>
      <c r="S2" s="3">
        <f>ROW()-1</f>
        <v>1</v>
      </c>
    </row>
    <row r="3" spans="1:19" ht="30" customHeight="1" x14ac:dyDescent="0.2">
      <c r="A3" s="2" t="s">
        <v>547</v>
      </c>
      <c r="B3" s="2" t="s">
        <v>548</v>
      </c>
      <c r="C3" s="2" t="s">
        <v>549</v>
      </c>
      <c r="D3" s="2" t="s">
        <v>550</v>
      </c>
      <c r="E3" s="2" t="s">
        <v>554</v>
      </c>
      <c r="F3" s="2" t="s">
        <v>555</v>
      </c>
      <c r="G3" s="2" t="s">
        <v>557</v>
      </c>
      <c r="H3" s="2" t="s">
        <v>556</v>
      </c>
      <c r="K3" s="2" t="s">
        <v>551</v>
      </c>
      <c r="L3" s="2" t="s">
        <v>552</v>
      </c>
      <c r="M3" s="2" t="s">
        <v>553</v>
      </c>
      <c r="S3" s="3">
        <f>ROW()-1</f>
        <v>2</v>
      </c>
    </row>
    <row r="4" spans="1:19" ht="30" customHeight="1" x14ac:dyDescent="0.2">
      <c r="A4" s="2" t="s">
        <v>560</v>
      </c>
      <c r="B4" s="2" t="s">
        <v>548</v>
      </c>
      <c r="C4" s="2" t="s">
        <v>559</v>
      </c>
      <c r="D4" s="2" t="s">
        <v>558</v>
      </c>
      <c r="E4" s="2" t="s">
        <v>554</v>
      </c>
      <c r="F4" s="2" t="s">
        <v>555</v>
      </c>
      <c r="G4" s="2" t="s">
        <v>557</v>
      </c>
      <c r="H4" s="2" t="s">
        <v>556</v>
      </c>
      <c r="K4" s="2" t="s">
        <v>551</v>
      </c>
      <c r="L4" s="2" t="s">
        <v>561</v>
      </c>
      <c r="M4" s="2" t="s">
        <v>562</v>
      </c>
      <c r="S4" s="3">
        <f>ROW()-1</f>
        <v>3</v>
      </c>
    </row>
    <row r="5" spans="1:19" ht="30" customHeight="1" x14ac:dyDescent="0.2">
      <c r="A5" s="2" t="s">
        <v>560</v>
      </c>
      <c r="B5" s="2" t="s">
        <v>548</v>
      </c>
      <c r="C5" s="2" t="s">
        <v>559</v>
      </c>
      <c r="D5" s="2" t="s">
        <v>558</v>
      </c>
      <c r="E5" s="2" t="s">
        <v>554</v>
      </c>
      <c r="F5" s="2" t="s">
        <v>555</v>
      </c>
      <c r="G5" s="2" t="s">
        <v>557</v>
      </c>
      <c r="H5" s="2" t="s">
        <v>556</v>
      </c>
      <c r="K5" s="2" t="s">
        <v>551</v>
      </c>
      <c r="L5" s="2" t="s">
        <v>563</v>
      </c>
      <c r="M5" s="2" t="s">
        <v>564</v>
      </c>
      <c r="S5" s="3">
        <f>ROW()-1</f>
        <v>4</v>
      </c>
    </row>
    <row r="6" spans="1:19" ht="30" customHeight="1" x14ac:dyDescent="0.2">
      <c r="A6" s="2" t="s">
        <v>560</v>
      </c>
      <c r="B6" s="2" t="s">
        <v>548</v>
      </c>
      <c r="C6" s="2" t="s">
        <v>565</v>
      </c>
      <c r="D6" s="2" t="s">
        <v>558</v>
      </c>
      <c r="E6" s="2" t="s">
        <v>566</v>
      </c>
      <c r="F6" s="2" t="s">
        <v>555</v>
      </c>
      <c r="G6" s="2" t="s">
        <v>567</v>
      </c>
      <c r="H6" s="2" t="s">
        <v>556</v>
      </c>
      <c r="K6" s="2" t="s">
        <v>551</v>
      </c>
      <c r="L6" s="2" t="s">
        <v>568</v>
      </c>
      <c r="M6" s="2" t="s">
        <v>569</v>
      </c>
      <c r="S6" s="3">
        <f>ROW()-1</f>
        <v>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6B46-94CE-4509-AF83-ABBB0E95CBA0}">
  <dimension ref="A1:S5"/>
  <sheetViews>
    <sheetView workbookViewId="0">
      <selection activeCell="G5" sqref="G5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A2" s="2" t="s">
        <v>398</v>
      </c>
      <c r="B2" s="2" t="s">
        <v>399</v>
      </c>
      <c r="C2" s="2" t="s">
        <v>400</v>
      </c>
      <c r="D2" s="2" t="s">
        <v>398</v>
      </c>
      <c r="E2" s="2" t="s">
        <v>407</v>
      </c>
      <c r="F2" s="2" t="s">
        <v>406</v>
      </c>
      <c r="G2" s="2" t="s">
        <v>398</v>
      </c>
      <c r="H2" s="2" t="s">
        <v>396</v>
      </c>
      <c r="K2" s="2" t="s">
        <v>403</v>
      </c>
      <c r="L2" s="2" t="s">
        <v>397</v>
      </c>
      <c r="M2" s="2" t="s">
        <v>404</v>
      </c>
      <c r="S2" s="3">
        <f>ROW()-1</f>
        <v>1</v>
      </c>
    </row>
    <row r="3" spans="1:19" ht="30" customHeight="1" x14ac:dyDescent="0.2">
      <c r="A3" s="2" t="s">
        <v>402</v>
      </c>
      <c r="B3" s="2" t="s">
        <v>399</v>
      </c>
      <c r="C3" s="2" t="s">
        <v>400</v>
      </c>
      <c r="D3" s="2" t="s">
        <v>402</v>
      </c>
      <c r="E3" s="2" t="s">
        <v>408</v>
      </c>
      <c r="F3" s="2" t="s">
        <v>406</v>
      </c>
      <c r="G3" s="2" t="s">
        <v>402</v>
      </c>
      <c r="H3" s="2" t="s">
        <v>396</v>
      </c>
      <c r="K3" s="2" t="s">
        <v>403</v>
      </c>
      <c r="L3" s="2" t="s">
        <v>401</v>
      </c>
      <c r="M3" s="2" t="s">
        <v>405</v>
      </c>
      <c r="S3" s="3">
        <f>ROW()-1</f>
        <v>2</v>
      </c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AB49-6C0F-4224-B8B8-1982158A8A0D}">
  <dimension ref="A1:S5"/>
  <sheetViews>
    <sheetView workbookViewId="0">
      <selection activeCell="E25" sqref="E25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CB4D-6108-4176-A624-7EB3B2B0C1B5}">
  <dimension ref="A1:S9"/>
  <sheetViews>
    <sheetView workbookViewId="0">
      <selection activeCell="G15" sqref="G15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A2" s="15" t="s">
        <v>162</v>
      </c>
      <c r="B2" s="15" t="s">
        <v>197</v>
      </c>
      <c r="C2" s="15" t="s">
        <v>167</v>
      </c>
      <c r="D2" s="15" t="s">
        <v>162</v>
      </c>
      <c r="E2" s="2" t="s">
        <v>181</v>
      </c>
      <c r="F2" s="2" t="s">
        <v>180</v>
      </c>
      <c r="G2" s="2" t="s">
        <v>187</v>
      </c>
      <c r="H2" s="2" t="s">
        <v>185</v>
      </c>
      <c r="K2" s="17" t="s">
        <v>184</v>
      </c>
      <c r="S2" s="3">
        <f>ROW()-1</f>
        <v>1</v>
      </c>
    </row>
    <row r="3" spans="1:19" ht="30" customHeight="1" x14ac:dyDescent="0.2">
      <c r="A3" s="15" t="s">
        <v>163</v>
      </c>
      <c r="B3" s="15" t="s">
        <v>197</v>
      </c>
      <c r="C3" s="15" t="s">
        <v>168</v>
      </c>
      <c r="D3" s="15" t="s">
        <v>163</v>
      </c>
      <c r="E3" s="2" t="s">
        <v>181</v>
      </c>
      <c r="F3" s="2" t="s">
        <v>180</v>
      </c>
      <c r="G3" s="2" t="s">
        <v>188</v>
      </c>
      <c r="H3" s="2" t="s">
        <v>185</v>
      </c>
      <c r="K3" s="17" t="s">
        <v>184</v>
      </c>
      <c r="S3" s="3">
        <f t="shared" ref="S3:S9" si="0">ROW()-1</f>
        <v>2</v>
      </c>
    </row>
    <row r="4" spans="1:19" ht="30" customHeight="1" x14ac:dyDescent="0.2">
      <c r="A4" s="15" t="s">
        <v>163</v>
      </c>
      <c r="B4" s="15" t="s">
        <v>197</v>
      </c>
      <c r="C4" s="15" t="s">
        <v>169</v>
      </c>
      <c r="D4" s="15" t="s">
        <v>163</v>
      </c>
      <c r="E4" s="2" t="s">
        <v>181</v>
      </c>
      <c r="F4" s="2" t="s">
        <v>180</v>
      </c>
      <c r="G4" s="2" t="s">
        <v>189</v>
      </c>
      <c r="H4" s="2" t="s">
        <v>185</v>
      </c>
      <c r="K4" s="17" t="s">
        <v>184</v>
      </c>
      <c r="S4" s="3">
        <f t="shared" si="0"/>
        <v>3</v>
      </c>
    </row>
    <row r="5" spans="1:19" ht="30" customHeight="1" x14ac:dyDescent="0.2">
      <c r="A5" s="15" t="s">
        <v>164</v>
      </c>
      <c r="B5" s="15" t="s">
        <v>197</v>
      </c>
      <c r="C5" s="15" t="s">
        <v>170</v>
      </c>
      <c r="D5" s="15" t="s">
        <v>164</v>
      </c>
      <c r="E5" s="2" t="s">
        <v>182</v>
      </c>
      <c r="F5" s="2" t="s">
        <v>183</v>
      </c>
      <c r="G5" s="2" t="s">
        <v>187</v>
      </c>
      <c r="H5" s="2" t="s">
        <v>185</v>
      </c>
      <c r="K5" s="17" t="s">
        <v>184</v>
      </c>
      <c r="S5" s="3">
        <f t="shared" si="0"/>
        <v>4</v>
      </c>
    </row>
    <row r="6" spans="1:19" ht="30" customHeight="1" x14ac:dyDescent="0.2">
      <c r="A6" s="15" t="s">
        <v>165</v>
      </c>
      <c r="B6" s="15" t="s">
        <v>197</v>
      </c>
      <c r="C6" s="15" t="s">
        <v>171</v>
      </c>
      <c r="D6" s="15" t="s">
        <v>165</v>
      </c>
      <c r="E6" s="2" t="s">
        <v>182</v>
      </c>
      <c r="F6" s="2" t="s">
        <v>183</v>
      </c>
      <c r="G6" s="2" t="s">
        <v>190</v>
      </c>
      <c r="H6" s="2" t="s">
        <v>191</v>
      </c>
      <c r="K6" s="17" t="s">
        <v>184</v>
      </c>
      <c r="S6" s="3">
        <f t="shared" si="0"/>
        <v>5</v>
      </c>
    </row>
    <row r="7" spans="1:19" ht="30" customHeight="1" x14ac:dyDescent="0.2">
      <c r="A7" s="16" t="s">
        <v>166</v>
      </c>
      <c r="B7" s="15" t="s">
        <v>197</v>
      </c>
      <c r="C7" s="16" t="s">
        <v>172</v>
      </c>
      <c r="D7" s="16" t="s">
        <v>166</v>
      </c>
      <c r="E7" s="2" t="s">
        <v>182</v>
      </c>
      <c r="F7" s="2" t="s">
        <v>183</v>
      </c>
      <c r="G7" s="2" t="s">
        <v>192</v>
      </c>
      <c r="H7" s="2" t="s">
        <v>186</v>
      </c>
      <c r="K7" s="17" t="s">
        <v>184</v>
      </c>
      <c r="S7" s="3">
        <f t="shared" si="0"/>
        <v>6</v>
      </c>
    </row>
    <row r="8" spans="1:19" ht="30" customHeight="1" x14ac:dyDescent="0.2">
      <c r="A8" s="2" t="s">
        <v>194</v>
      </c>
      <c r="B8" s="15" t="s">
        <v>197</v>
      </c>
      <c r="C8" s="2" t="s">
        <v>198</v>
      </c>
      <c r="D8" s="2" t="s">
        <v>194</v>
      </c>
      <c r="E8" s="2" t="s">
        <v>181</v>
      </c>
      <c r="F8" s="2" t="s">
        <v>180</v>
      </c>
      <c r="G8" s="2" t="s">
        <v>187</v>
      </c>
      <c r="H8" s="2" t="s">
        <v>185</v>
      </c>
      <c r="K8" s="2" t="s">
        <v>199</v>
      </c>
      <c r="L8" s="2" t="s">
        <v>193</v>
      </c>
      <c r="M8" s="2" t="s">
        <v>200</v>
      </c>
      <c r="S8" s="3">
        <f t="shared" si="0"/>
        <v>7</v>
      </c>
    </row>
    <row r="9" spans="1:19" ht="30" customHeight="1" x14ac:dyDescent="0.2">
      <c r="A9" s="2" t="s">
        <v>196</v>
      </c>
      <c r="B9" s="15" t="s">
        <v>197</v>
      </c>
      <c r="C9" s="2" t="s">
        <v>198</v>
      </c>
      <c r="D9" s="2" t="s">
        <v>196</v>
      </c>
      <c r="E9" s="2" t="s">
        <v>181</v>
      </c>
      <c r="F9" s="2" t="s">
        <v>180</v>
      </c>
      <c r="G9" s="2" t="s">
        <v>187</v>
      </c>
      <c r="H9" s="2" t="s">
        <v>185</v>
      </c>
      <c r="K9" s="2" t="s">
        <v>201</v>
      </c>
      <c r="L9" s="2" t="s">
        <v>195</v>
      </c>
      <c r="M9" s="2" t="s">
        <v>202</v>
      </c>
      <c r="S9" s="3">
        <f t="shared" si="0"/>
        <v>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499F-A9A6-4520-92B0-EB78CC760494}">
  <dimension ref="A1:S5"/>
  <sheetViews>
    <sheetView topLeftCell="E1" workbookViewId="0">
      <selection activeCell="S2" sqref="S2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A2" s="15" t="s">
        <v>173</v>
      </c>
      <c r="B2" s="15" t="s">
        <v>174</v>
      </c>
      <c r="C2" s="15" t="s">
        <v>175</v>
      </c>
      <c r="D2" s="15" t="s">
        <v>210</v>
      </c>
      <c r="E2" s="15" t="s">
        <v>173</v>
      </c>
      <c r="F2" s="2" t="s">
        <v>203</v>
      </c>
      <c r="G2" s="2" t="s">
        <v>206</v>
      </c>
      <c r="H2" s="2" t="s">
        <v>205</v>
      </c>
      <c r="K2" s="2" t="s">
        <v>211</v>
      </c>
      <c r="L2" s="2" t="s">
        <v>173</v>
      </c>
      <c r="M2" s="2" t="s">
        <v>212</v>
      </c>
      <c r="S2" s="3">
        <f>ROW()-1</f>
        <v>1</v>
      </c>
    </row>
    <row r="3" spans="1:19" ht="30" customHeight="1" x14ac:dyDescent="0.2">
      <c r="A3" s="15" t="s">
        <v>173</v>
      </c>
      <c r="B3" s="15" t="s">
        <v>174</v>
      </c>
      <c r="C3" s="15" t="s">
        <v>176</v>
      </c>
      <c r="D3" s="15" t="s">
        <v>173</v>
      </c>
      <c r="E3" s="15" t="s">
        <v>173</v>
      </c>
      <c r="F3" s="2" t="s">
        <v>203</v>
      </c>
      <c r="G3" s="2" t="s">
        <v>207</v>
      </c>
      <c r="H3" s="2" t="s">
        <v>205</v>
      </c>
      <c r="K3" s="2" t="s">
        <v>211</v>
      </c>
      <c r="L3" s="2" t="s">
        <v>173</v>
      </c>
      <c r="M3" s="2" t="s">
        <v>212</v>
      </c>
      <c r="S3" s="3">
        <f t="shared" ref="S3:S5" si="0">ROW()-1</f>
        <v>2</v>
      </c>
    </row>
    <row r="4" spans="1:19" ht="30" customHeight="1" x14ac:dyDescent="0.2">
      <c r="A4" s="15" t="s">
        <v>173</v>
      </c>
      <c r="B4" s="15" t="s">
        <v>174</v>
      </c>
      <c r="C4" s="15" t="s">
        <v>177</v>
      </c>
      <c r="D4" s="15" t="s">
        <v>173</v>
      </c>
      <c r="E4" s="15" t="s">
        <v>173</v>
      </c>
      <c r="F4" s="2" t="s">
        <v>203</v>
      </c>
      <c r="G4" s="2" t="s">
        <v>208</v>
      </c>
      <c r="H4" s="2" t="s">
        <v>205</v>
      </c>
      <c r="K4" s="2" t="s">
        <v>211</v>
      </c>
      <c r="L4" s="2" t="s">
        <v>173</v>
      </c>
      <c r="M4" s="2" t="s">
        <v>212</v>
      </c>
      <c r="S4" s="3">
        <f t="shared" si="0"/>
        <v>3</v>
      </c>
    </row>
    <row r="5" spans="1:19" ht="30" customHeight="1" x14ac:dyDescent="0.2">
      <c r="A5" s="15" t="s">
        <v>178</v>
      </c>
      <c r="B5" s="15" t="s">
        <v>174</v>
      </c>
      <c r="C5" s="15" t="s">
        <v>179</v>
      </c>
      <c r="D5" s="15" t="s">
        <v>178</v>
      </c>
      <c r="E5" s="15" t="s">
        <v>178</v>
      </c>
      <c r="F5" s="2" t="s">
        <v>204</v>
      </c>
      <c r="G5" s="2" t="s">
        <v>209</v>
      </c>
      <c r="H5" s="2" t="s">
        <v>205</v>
      </c>
      <c r="K5" s="2" t="s">
        <v>211</v>
      </c>
      <c r="L5" s="2" t="s">
        <v>213</v>
      </c>
      <c r="M5" s="2" t="s">
        <v>214</v>
      </c>
      <c r="S5" s="3">
        <f t="shared" si="0"/>
        <v>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1AA7-55CD-4C77-927F-B475D26DE111}">
  <dimension ref="A1:S5"/>
  <sheetViews>
    <sheetView workbookViewId="0">
      <selection activeCell="G20" sqref="G20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5F0B-A736-4756-916C-99478A8F18B4}">
  <dimension ref="A1:S5"/>
  <sheetViews>
    <sheetView workbookViewId="0">
      <selection activeCell="C24" sqref="C24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60A1-5847-4E28-93E4-111259FA8AFB}">
  <dimension ref="A1:S5"/>
  <sheetViews>
    <sheetView workbookViewId="0">
      <selection activeCell="G19" sqref="G19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55C4-BDBA-440A-999F-F49D1ACAE1EC}">
  <dimension ref="A1:S5"/>
  <sheetViews>
    <sheetView workbookViewId="0">
      <selection activeCell="K21" sqref="K21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A2" s="24" t="s">
        <v>585</v>
      </c>
      <c r="B2" s="24" t="s">
        <v>583</v>
      </c>
      <c r="C2" s="24" t="s">
        <v>584</v>
      </c>
      <c r="D2" s="2" t="s">
        <v>586</v>
      </c>
      <c r="E2" s="2" t="s">
        <v>606</v>
      </c>
      <c r="F2" s="2" t="s">
        <v>605</v>
      </c>
      <c r="G2" s="2" t="s">
        <v>611</v>
      </c>
      <c r="H2" s="2" t="s">
        <v>607</v>
      </c>
      <c r="K2" s="2" t="s">
        <v>587</v>
      </c>
      <c r="L2" s="2" t="s">
        <v>582</v>
      </c>
      <c r="M2" s="2" t="s">
        <v>588</v>
      </c>
      <c r="O2" s="2" t="s">
        <v>589</v>
      </c>
      <c r="S2" s="3">
        <f>ROW()-1</f>
        <v>1</v>
      </c>
    </row>
    <row r="3" spans="1:19" ht="30" customHeight="1" x14ac:dyDescent="0.2">
      <c r="A3" s="2" t="s">
        <v>609</v>
      </c>
      <c r="B3" s="24" t="s">
        <v>583</v>
      </c>
      <c r="C3" s="2" t="s">
        <v>591</v>
      </c>
      <c r="D3" s="2" t="s">
        <v>586</v>
      </c>
      <c r="E3" s="2" t="s">
        <v>606</v>
      </c>
      <c r="F3" s="2" t="s">
        <v>605</v>
      </c>
      <c r="G3" s="2" t="s">
        <v>612</v>
      </c>
      <c r="H3" s="2" t="s">
        <v>613</v>
      </c>
      <c r="K3" s="2" t="s">
        <v>592</v>
      </c>
      <c r="L3" s="2" t="s">
        <v>590</v>
      </c>
      <c r="M3" s="2" t="s">
        <v>593</v>
      </c>
      <c r="O3" s="2" t="s">
        <v>589</v>
      </c>
      <c r="S3" s="3">
        <f>ROW()-1</f>
        <v>2</v>
      </c>
    </row>
    <row r="4" spans="1:19" ht="30" customHeight="1" x14ac:dyDescent="0.2">
      <c r="A4" s="2" t="s">
        <v>610</v>
      </c>
      <c r="B4" s="24" t="s">
        <v>599</v>
      </c>
      <c r="C4" s="2" t="s">
        <v>608</v>
      </c>
      <c r="D4" s="2" t="s">
        <v>595</v>
      </c>
      <c r="K4" s="2" t="s">
        <v>596</v>
      </c>
      <c r="L4" s="2" t="s">
        <v>594</v>
      </c>
      <c r="M4" s="2" t="s">
        <v>597</v>
      </c>
      <c r="O4" s="2" t="s">
        <v>589</v>
      </c>
      <c r="S4" s="3">
        <f t="shared" ref="S4:S5" si="0">ROW()-1</f>
        <v>3</v>
      </c>
    </row>
    <row r="5" spans="1:19" ht="30" customHeight="1" x14ac:dyDescent="0.2">
      <c r="A5" s="2" t="s">
        <v>598</v>
      </c>
      <c r="B5" s="2" t="s">
        <v>599</v>
      </c>
      <c r="C5" s="2" t="s">
        <v>600</v>
      </c>
      <c r="D5" s="2" t="s">
        <v>601</v>
      </c>
      <c r="K5" s="2" t="s">
        <v>602</v>
      </c>
      <c r="L5" s="2" t="s">
        <v>598</v>
      </c>
      <c r="M5" s="2" t="s">
        <v>603</v>
      </c>
      <c r="O5" s="2" t="s">
        <v>604</v>
      </c>
      <c r="S5" s="3">
        <f t="shared" si="0"/>
        <v>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1601-5FDD-4179-90CC-D922BA387C80}">
  <dimension ref="A1:S5"/>
  <sheetViews>
    <sheetView workbookViewId="0">
      <selection activeCell="C27" sqref="C27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50C8-4129-4BDA-95F9-E7DF81AED8AB}">
  <dimension ref="A1:S5"/>
  <sheetViews>
    <sheetView workbookViewId="0">
      <selection activeCell="G20" sqref="G20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3007-18EF-42DE-A458-D426234F8102}">
  <dimension ref="A1:S11"/>
  <sheetViews>
    <sheetView zoomScale="85" zoomScaleNormal="85" workbookViewId="0">
      <pane ySplit="1" topLeftCell="A2" activePane="bottomLeft" state="frozen"/>
      <selection pane="bottomLeft" activeCell="B16" sqref="B16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s="3" customFormat="1" ht="30" customHeight="1" x14ac:dyDescent="0.2">
      <c r="A2" s="3" t="s">
        <v>462</v>
      </c>
      <c r="B2" s="22" t="s">
        <v>433</v>
      </c>
      <c r="C2" s="22" t="s">
        <v>463</v>
      </c>
      <c r="D2" s="3" t="s">
        <v>462</v>
      </c>
      <c r="E2" s="2" t="s">
        <v>444</v>
      </c>
      <c r="F2" s="2" t="s">
        <v>443</v>
      </c>
      <c r="G2" s="2" t="s">
        <v>448</v>
      </c>
      <c r="H2" s="2" t="s">
        <v>446</v>
      </c>
      <c r="K2" s="4" t="s">
        <v>465</v>
      </c>
      <c r="L2" s="4" t="s">
        <v>462</v>
      </c>
      <c r="M2" s="4" t="s">
        <v>464</v>
      </c>
      <c r="N2" s="4"/>
      <c r="O2" s="4"/>
      <c r="P2" s="4"/>
      <c r="S2" s="3">
        <f>ROW()-1</f>
        <v>1</v>
      </c>
    </row>
    <row r="3" spans="1:19" ht="30" customHeight="1" x14ac:dyDescent="0.2">
      <c r="A3" s="22" t="s">
        <v>450</v>
      </c>
      <c r="B3" s="22" t="s">
        <v>433</v>
      </c>
      <c r="C3" s="22" t="s">
        <v>439</v>
      </c>
      <c r="D3" s="22" t="s">
        <v>450</v>
      </c>
      <c r="E3" s="2" t="s">
        <v>444</v>
      </c>
      <c r="F3" s="2" t="s">
        <v>443</v>
      </c>
      <c r="G3" s="2" t="s">
        <v>448</v>
      </c>
      <c r="H3" s="2" t="s">
        <v>446</v>
      </c>
      <c r="K3" s="2" t="s">
        <v>451</v>
      </c>
      <c r="L3" s="2" t="s">
        <v>449</v>
      </c>
      <c r="M3" s="2" t="s">
        <v>452</v>
      </c>
      <c r="S3" s="3">
        <f>ROW()-1</f>
        <v>2</v>
      </c>
    </row>
    <row r="4" spans="1:19" ht="30" customHeight="1" x14ac:dyDescent="0.2">
      <c r="A4" s="22" t="s">
        <v>453</v>
      </c>
      <c r="B4" s="22" t="s">
        <v>433</v>
      </c>
      <c r="C4" s="22" t="s">
        <v>440</v>
      </c>
      <c r="D4" s="22" t="s">
        <v>453</v>
      </c>
      <c r="E4" s="2" t="s">
        <v>444</v>
      </c>
      <c r="F4" s="2" t="s">
        <v>443</v>
      </c>
      <c r="G4" s="2" t="s">
        <v>448</v>
      </c>
      <c r="H4" s="2" t="s">
        <v>446</v>
      </c>
      <c r="K4" s="2" t="s">
        <v>451</v>
      </c>
      <c r="L4" s="2" t="s">
        <v>453</v>
      </c>
      <c r="M4" s="2" t="s">
        <v>454</v>
      </c>
      <c r="S4" s="3">
        <f t="shared" ref="S4:S11" si="0">ROW()-1</f>
        <v>3</v>
      </c>
    </row>
    <row r="5" spans="1:19" ht="30" customHeight="1" x14ac:dyDescent="0.2">
      <c r="A5" s="22" t="s">
        <v>456</v>
      </c>
      <c r="B5" s="22" t="s">
        <v>433</v>
      </c>
      <c r="C5" s="22" t="s">
        <v>441</v>
      </c>
      <c r="D5" s="22" t="s">
        <v>456</v>
      </c>
      <c r="E5" s="2" t="s">
        <v>444</v>
      </c>
      <c r="F5" s="2" t="s">
        <v>443</v>
      </c>
      <c r="G5" s="2" t="s">
        <v>447</v>
      </c>
      <c r="H5" s="2" t="s">
        <v>446</v>
      </c>
      <c r="K5" s="2" t="s">
        <v>451</v>
      </c>
      <c r="L5" s="2" t="s">
        <v>455</v>
      </c>
      <c r="M5" s="2" t="s">
        <v>457</v>
      </c>
      <c r="S5" s="3">
        <f t="shared" si="0"/>
        <v>4</v>
      </c>
    </row>
    <row r="6" spans="1:19" ht="30" customHeight="1" x14ac:dyDescent="0.2">
      <c r="A6" s="22" t="s">
        <v>459</v>
      </c>
      <c r="B6" s="22" t="s">
        <v>433</v>
      </c>
      <c r="C6" s="22" t="s">
        <v>442</v>
      </c>
      <c r="D6" s="22" t="s">
        <v>459</v>
      </c>
      <c r="E6" s="2" t="s">
        <v>444</v>
      </c>
      <c r="F6" s="2" t="s">
        <v>443</v>
      </c>
      <c r="G6" s="2" t="s">
        <v>447</v>
      </c>
      <c r="H6" s="2" t="s">
        <v>446</v>
      </c>
      <c r="K6" s="2" t="s">
        <v>451</v>
      </c>
      <c r="L6" s="2" t="s">
        <v>458</v>
      </c>
      <c r="M6" s="2" t="s">
        <v>460</v>
      </c>
      <c r="S6" s="3">
        <f t="shared" si="0"/>
        <v>5</v>
      </c>
    </row>
    <row r="7" spans="1:19" ht="30" customHeight="1" x14ac:dyDescent="0.2">
      <c r="A7" s="22" t="s">
        <v>461</v>
      </c>
      <c r="B7" s="22" t="s">
        <v>433</v>
      </c>
      <c r="C7" s="22" t="s">
        <v>439</v>
      </c>
      <c r="D7" s="22" t="s">
        <v>434</v>
      </c>
      <c r="E7" s="2" t="s">
        <v>444</v>
      </c>
      <c r="F7" s="2" t="s">
        <v>443</v>
      </c>
      <c r="G7" s="2" t="s">
        <v>447</v>
      </c>
      <c r="H7" s="2" t="s">
        <v>446</v>
      </c>
      <c r="S7" s="3">
        <f t="shared" si="0"/>
        <v>6</v>
      </c>
    </row>
    <row r="8" spans="1:19" ht="30" customHeight="1" x14ac:dyDescent="0.2">
      <c r="A8" s="22" t="s">
        <v>435</v>
      </c>
      <c r="B8" s="22" t="s">
        <v>433</v>
      </c>
      <c r="C8" s="22" t="s">
        <v>440</v>
      </c>
      <c r="D8" s="22" t="s">
        <v>435</v>
      </c>
      <c r="E8" s="2" t="s">
        <v>444</v>
      </c>
      <c r="F8" s="2" t="s">
        <v>443</v>
      </c>
      <c r="G8" s="2" t="s">
        <v>447</v>
      </c>
      <c r="H8" s="2" t="s">
        <v>446</v>
      </c>
      <c r="S8" s="3">
        <f t="shared" si="0"/>
        <v>7</v>
      </c>
    </row>
    <row r="9" spans="1:19" ht="30" customHeight="1" x14ac:dyDescent="0.2">
      <c r="A9" s="22" t="s">
        <v>436</v>
      </c>
      <c r="B9" s="22" t="s">
        <v>433</v>
      </c>
      <c r="C9" s="22" t="s">
        <v>441</v>
      </c>
      <c r="D9" s="22" t="s">
        <v>436</v>
      </c>
      <c r="E9" s="2" t="s">
        <v>444</v>
      </c>
      <c r="F9" s="2" t="s">
        <v>443</v>
      </c>
      <c r="G9" s="2" t="s">
        <v>447</v>
      </c>
      <c r="H9" s="2" t="s">
        <v>446</v>
      </c>
      <c r="S9" s="3">
        <f t="shared" si="0"/>
        <v>8</v>
      </c>
    </row>
    <row r="10" spans="1:19" ht="30" customHeight="1" x14ac:dyDescent="0.2">
      <c r="A10" s="22" t="s">
        <v>437</v>
      </c>
      <c r="B10" s="22" t="s">
        <v>433</v>
      </c>
      <c r="C10" s="22" t="s">
        <v>442</v>
      </c>
      <c r="D10" s="22" t="s">
        <v>437</v>
      </c>
      <c r="E10" s="2" t="s">
        <v>444</v>
      </c>
      <c r="F10" s="2" t="s">
        <v>443</v>
      </c>
      <c r="G10" s="2" t="s">
        <v>447</v>
      </c>
      <c r="H10" s="2" t="s">
        <v>446</v>
      </c>
      <c r="S10" s="3">
        <f t="shared" si="0"/>
        <v>9</v>
      </c>
    </row>
    <row r="11" spans="1:19" ht="30" customHeight="1" x14ac:dyDescent="0.2">
      <c r="A11" s="22" t="s">
        <v>438</v>
      </c>
      <c r="B11" s="22" t="s">
        <v>433</v>
      </c>
      <c r="D11" s="22" t="s">
        <v>438</v>
      </c>
      <c r="E11" s="22" t="s">
        <v>438</v>
      </c>
      <c r="F11" s="2" t="s">
        <v>445</v>
      </c>
      <c r="S11" s="3">
        <f t="shared" si="0"/>
        <v>10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18BA-C172-4A64-87C7-065784919E46}">
  <dimension ref="A1:S10"/>
  <sheetViews>
    <sheetView tabSelected="1" zoomScale="85" zoomScaleNormal="85" workbookViewId="0">
      <selection activeCell="D18" sqref="D18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A2" s="24" t="s">
        <v>638</v>
      </c>
      <c r="B2" s="2" t="s">
        <v>619</v>
      </c>
      <c r="C2" s="2" t="s">
        <v>646</v>
      </c>
      <c r="D2" s="24" t="s">
        <v>614</v>
      </c>
      <c r="E2" s="2" t="s">
        <v>636</v>
      </c>
      <c r="F2" s="2" t="s">
        <v>635</v>
      </c>
      <c r="G2" s="2" t="s">
        <v>653</v>
      </c>
      <c r="H2" s="2" t="s">
        <v>649</v>
      </c>
      <c r="S2" s="3">
        <f>ROW()-1</f>
        <v>1</v>
      </c>
    </row>
    <row r="3" spans="1:19" ht="30" customHeight="1" x14ac:dyDescent="0.2">
      <c r="A3" s="24" t="s">
        <v>615</v>
      </c>
      <c r="B3" s="2" t="s">
        <v>619</v>
      </c>
      <c r="C3" s="2" t="s">
        <v>646</v>
      </c>
      <c r="D3" s="24" t="s">
        <v>615</v>
      </c>
      <c r="E3" s="2" t="s">
        <v>636</v>
      </c>
      <c r="F3" s="2" t="s">
        <v>635</v>
      </c>
      <c r="G3" s="2" t="s">
        <v>654</v>
      </c>
      <c r="H3" s="2" t="s">
        <v>649</v>
      </c>
      <c r="S3" s="3">
        <f t="shared" ref="S3:S10" si="0">ROW()-1</f>
        <v>2</v>
      </c>
    </row>
    <row r="4" spans="1:19" ht="30" customHeight="1" x14ac:dyDescent="0.2">
      <c r="A4" s="24" t="s">
        <v>616</v>
      </c>
      <c r="B4" s="2" t="s">
        <v>619</v>
      </c>
      <c r="C4" s="2" t="s">
        <v>646</v>
      </c>
      <c r="D4" s="24" t="s">
        <v>616</v>
      </c>
      <c r="E4" s="2" t="s">
        <v>636</v>
      </c>
      <c r="F4" s="2" t="s">
        <v>635</v>
      </c>
      <c r="G4" s="2" t="s">
        <v>681</v>
      </c>
      <c r="H4" s="2" t="s">
        <v>649</v>
      </c>
      <c r="S4" s="3">
        <f t="shared" si="0"/>
        <v>3</v>
      </c>
    </row>
    <row r="5" spans="1:19" ht="30" customHeight="1" x14ac:dyDescent="0.2">
      <c r="A5" s="24" t="s">
        <v>617</v>
      </c>
      <c r="B5" s="2" t="s">
        <v>619</v>
      </c>
      <c r="C5" s="2" t="s">
        <v>647</v>
      </c>
      <c r="D5" s="24" t="s">
        <v>617</v>
      </c>
      <c r="E5" s="2" t="s">
        <v>637</v>
      </c>
      <c r="F5" s="2" t="s">
        <v>635</v>
      </c>
      <c r="G5" s="2" t="s">
        <v>652</v>
      </c>
      <c r="H5" s="2" t="s">
        <v>649</v>
      </c>
      <c r="S5" s="3">
        <f t="shared" si="0"/>
        <v>4</v>
      </c>
    </row>
    <row r="6" spans="1:19" ht="30" customHeight="1" x14ac:dyDescent="0.2">
      <c r="A6" s="24" t="s">
        <v>618</v>
      </c>
      <c r="B6" s="2" t="s">
        <v>619</v>
      </c>
      <c r="C6" s="2" t="s">
        <v>647</v>
      </c>
      <c r="D6" s="24" t="s">
        <v>618</v>
      </c>
      <c r="E6" s="2" t="s">
        <v>637</v>
      </c>
      <c r="F6" s="2" t="s">
        <v>635</v>
      </c>
      <c r="G6" s="2" t="s">
        <v>651</v>
      </c>
      <c r="H6" s="2" t="s">
        <v>649</v>
      </c>
      <c r="S6" s="3">
        <f t="shared" si="0"/>
        <v>5</v>
      </c>
    </row>
    <row r="7" spans="1:19" ht="30" customHeight="1" x14ac:dyDescent="0.2">
      <c r="A7" s="25" t="s">
        <v>620</v>
      </c>
      <c r="B7" s="2" t="s">
        <v>619</v>
      </c>
      <c r="C7" s="2" t="s">
        <v>648</v>
      </c>
      <c r="D7" s="25" t="s">
        <v>620</v>
      </c>
      <c r="E7" s="2" t="s">
        <v>640</v>
      </c>
      <c r="F7" s="2" t="s">
        <v>635</v>
      </c>
      <c r="G7" s="2" t="s">
        <v>639</v>
      </c>
      <c r="H7" s="2" t="s">
        <v>649</v>
      </c>
      <c r="S7" s="3">
        <f t="shared" si="0"/>
        <v>6</v>
      </c>
    </row>
    <row r="8" spans="1:19" ht="30" customHeight="1" x14ac:dyDescent="0.2">
      <c r="A8" s="25" t="s">
        <v>621</v>
      </c>
      <c r="B8" s="2" t="s">
        <v>619</v>
      </c>
      <c r="C8" s="2" t="s">
        <v>648</v>
      </c>
      <c r="D8" s="25" t="s">
        <v>621</v>
      </c>
      <c r="E8" s="2" t="s">
        <v>643</v>
      </c>
      <c r="F8" s="2" t="s">
        <v>635</v>
      </c>
      <c r="G8" s="2" t="s">
        <v>641</v>
      </c>
      <c r="H8" s="2" t="s">
        <v>649</v>
      </c>
      <c r="S8" s="3">
        <f t="shared" si="0"/>
        <v>7</v>
      </c>
    </row>
    <row r="9" spans="1:19" ht="30" customHeight="1" x14ac:dyDescent="0.2">
      <c r="A9" s="25" t="s">
        <v>622</v>
      </c>
      <c r="B9" s="2" t="s">
        <v>619</v>
      </c>
      <c r="C9" s="2" t="s">
        <v>648</v>
      </c>
      <c r="D9" s="25" t="s">
        <v>622</v>
      </c>
      <c r="E9" s="2" t="s">
        <v>644</v>
      </c>
      <c r="F9" s="2" t="s">
        <v>635</v>
      </c>
      <c r="G9" s="2" t="s">
        <v>650</v>
      </c>
      <c r="H9" s="2" t="s">
        <v>649</v>
      </c>
      <c r="S9" s="3">
        <f t="shared" si="0"/>
        <v>8</v>
      </c>
    </row>
    <row r="10" spans="1:19" ht="30" customHeight="1" x14ac:dyDescent="0.2">
      <c r="A10" s="25" t="s">
        <v>623</v>
      </c>
      <c r="B10" s="2" t="s">
        <v>619</v>
      </c>
      <c r="C10" s="2" t="s">
        <v>648</v>
      </c>
      <c r="D10" s="25" t="s">
        <v>623</v>
      </c>
      <c r="E10" s="2" t="s">
        <v>645</v>
      </c>
      <c r="F10" s="2" t="s">
        <v>635</v>
      </c>
      <c r="G10" s="2" t="s">
        <v>642</v>
      </c>
      <c r="H10" s="2" t="s">
        <v>649</v>
      </c>
      <c r="S10" s="3">
        <f t="shared" si="0"/>
        <v>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E2C3-4BA4-4E08-85ED-F27271C1E7C2}">
  <dimension ref="A1:S5"/>
  <sheetViews>
    <sheetView workbookViewId="0">
      <selection activeCell="C15" sqref="C15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A2" s="25" t="s">
        <v>624</v>
      </c>
      <c r="B2" s="25" t="s">
        <v>626</v>
      </c>
      <c r="C2" s="25" t="s">
        <v>627</v>
      </c>
      <c r="D2" s="25" t="s">
        <v>624</v>
      </c>
      <c r="S2" s="3">
        <f>ROW()-1</f>
        <v>1</v>
      </c>
    </row>
    <row r="3" spans="1:19" ht="30" customHeight="1" x14ac:dyDescent="0.2">
      <c r="A3" s="25" t="s">
        <v>625</v>
      </c>
      <c r="B3" s="25" t="s">
        <v>626</v>
      </c>
      <c r="C3" s="25" t="s">
        <v>628</v>
      </c>
      <c r="D3" s="25" t="s">
        <v>625</v>
      </c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8B78-6B34-42FF-9085-B965509AA659}">
  <dimension ref="A1:S5"/>
  <sheetViews>
    <sheetView workbookViewId="0">
      <selection activeCell="H28" sqref="H28"/>
    </sheetView>
  </sheetViews>
  <sheetFormatPr defaultColWidth="20.625" defaultRowHeight="30" customHeight="1" x14ac:dyDescent="0.2"/>
  <cols>
    <col min="1" max="16384" width="20.625" style="2"/>
  </cols>
  <sheetData>
    <row r="1" spans="1:19" s="3" customFormat="1" ht="30" customHeight="1" x14ac:dyDescent="0.2">
      <c r="A1" s="3" t="s">
        <v>16</v>
      </c>
      <c r="B1" s="3" t="s">
        <v>2</v>
      </c>
      <c r="C1" s="3" t="s">
        <v>17</v>
      </c>
      <c r="D1" s="3" t="s">
        <v>13</v>
      </c>
      <c r="E1" s="1" t="s">
        <v>0</v>
      </c>
      <c r="F1" s="1" t="s">
        <v>14</v>
      </c>
      <c r="G1" s="3" t="s">
        <v>1</v>
      </c>
      <c r="H1" s="3" t="s">
        <v>15</v>
      </c>
      <c r="I1" s="3" t="s">
        <v>3</v>
      </c>
      <c r="J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3" t="s">
        <v>11</v>
      </c>
      <c r="R1" s="3" t="s">
        <v>12</v>
      </c>
      <c r="S1" s="3" t="s">
        <v>31</v>
      </c>
    </row>
    <row r="2" spans="1:19" ht="30" customHeight="1" x14ac:dyDescent="0.2">
      <c r="S2" s="3">
        <f>ROW()-1</f>
        <v>1</v>
      </c>
    </row>
    <row r="3" spans="1:19" ht="30" customHeight="1" x14ac:dyDescent="0.2">
      <c r="S3" s="3"/>
    </row>
    <row r="4" spans="1:19" ht="30" customHeight="1" x14ac:dyDescent="0.2">
      <c r="S4" s="3"/>
    </row>
    <row r="5" spans="1:19" ht="30" customHeight="1" x14ac:dyDescent="0.2">
      <c r="S5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RES</vt:lpstr>
      <vt:lpstr>CAP</vt:lpstr>
      <vt:lpstr>Fuse</vt:lpstr>
      <vt:lpstr>Diodes</vt:lpstr>
      <vt:lpstr>Inductor</vt:lpstr>
      <vt:lpstr>Transistors</vt:lpstr>
      <vt:lpstr>Crystals</vt:lpstr>
      <vt:lpstr>Connector</vt:lpstr>
      <vt:lpstr>LED</vt:lpstr>
      <vt:lpstr>MEM</vt:lpstr>
      <vt:lpstr>MCU</vt:lpstr>
      <vt:lpstr>MCU-ST</vt:lpstr>
      <vt:lpstr>MCU-WCH</vt:lpstr>
      <vt:lpstr>MCU-NORDIC</vt:lpstr>
      <vt:lpstr>SW</vt:lpstr>
      <vt:lpstr>PWR-BMIC</vt:lpstr>
      <vt:lpstr>PWR-DCDC</vt:lpstr>
      <vt:lpstr>PWR-LDO</vt:lpstr>
      <vt:lpstr>KBD</vt:lpstr>
      <vt:lpstr>Other</vt:lpstr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择雨 王</cp:lastModifiedBy>
  <dcterms:created xsi:type="dcterms:W3CDTF">2015-06-05T18:19:34Z</dcterms:created>
  <dcterms:modified xsi:type="dcterms:W3CDTF">2026-02-23T08:24:33Z</dcterms:modified>
</cp:coreProperties>
</file>